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<sst xmlns="http://schemas.openxmlformats.org/spreadsheetml/2006/main" count="202" uniqueCount="180">
  <si>
    <t xml:space="preserve">LOAN COMPARISON WORKSHEET — PAOLI CASH-OUT REFI</t>
  </si>
  <si>
    <t xml:space="preserve">13240 Falmouth St, Leawood KS | Rocket Pro TPO | 30-Yr Fixed | Closing April 24, 2026</t>
  </si>
  <si>
    <t xml:space="preserve">Blue = inputs  |  Black = formulas  |  Yellow = update required</t>
  </si>
  <si>
    <t xml:space="preserve">$500,000</t>
  </si>
  <si>
    <t xml:space="preserve">$550,000</t>
  </si>
  <si>
    <t xml:space="preserve">$600,000</t>
  </si>
  <si>
    <t xml:space="preserve">Notes</t>
  </si>
  <si>
    <t xml:space="preserve">LOAN PARAMETERS</t>
  </si>
  <si>
    <t xml:space="preserve">Loan Amount</t>
  </si>
  <si>
    <t xml:space="preserve">Interest Rate</t>
  </si>
  <si>
    <t xml:space="preserve">Clear Quote 3/10/2026</t>
  </si>
  <si>
    <t xml:space="preserve">Term (months)</t>
  </si>
  <si>
    <t xml:space="preserve">30-yr fixed</t>
  </si>
  <si>
    <t xml:space="preserve">Monthly P&amp;I</t>
  </si>
  <si>
    <t xml:space="preserve">Calc</t>
  </si>
  <si>
    <t xml:space="preserve">APR</t>
  </si>
  <si>
    <t xml:space="preserve">Per Clear Quote</t>
  </si>
  <si>
    <t xml:space="preserve">A. ORIGINATION CHARGES</t>
  </si>
  <si>
    <t xml:space="preserve">Underwriting Fee</t>
  </si>
  <si>
    <t xml:space="preserve">Rocket Pro</t>
  </si>
  <si>
    <t xml:space="preserve">YSP Credit (Rate Premium)</t>
  </si>
  <si>
    <t xml:space="preserve">Lender credit</t>
  </si>
  <si>
    <t xml:space="preserve">Total Origination</t>
  </si>
  <si>
    <t xml:space="preserve">B. SERVICES YOU CANNOT SHOP FOR</t>
  </si>
  <si>
    <t xml:space="preserve">Life of Loan Tax Service</t>
  </si>
  <si>
    <t xml:space="preserve">CoreLogic</t>
  </si>
  <si>
    <t xml:space="preserve">Flood Life of Loan</t>
  </si>
  <si>
    <t xml:space="preserve">Flood Determination</t>
  </si>
  <si>
    <t xml:space="preserve">Appraisal Fee</t>
  </si>
  <si>
    <t xml:space="preserve">Rocket Close LLC</t>
  </si>
  <si>
    <t xml:space="preserve">Appraisal Mgmt Services</t>
  </si>
  <si>
    <t xml:space="preserve">Total Section B</t>
  </si>
  <si>
    <t xml:space="preserve">C. SERVICES YOU CAN SHOP FOR</t>
  </si>
  <si>
    <t xml:space="preserve">Title - Lender's Policy</t>
  </si>
  <si>
    <t xml:space="preserve">Can shop</t>
  </si>
  <si>
    <t xml:space="preserve">Title - ALTA 8.1</t>
  </si>
  <si>
    <t xml:space="preserve">Title - ALTA 9</t>
  </si>
  <si>
    <t xml:space="preserve">Tax Certification</t>
  </si>
  <si>
    <t xml:space="preserve">Settlement/Closing Fee</t>
  </si>
  <si>
    <t xml:space="preserve">Closing Agent</t>
  </si>
  <si>
    <t xml:space="preserve">Total Section C</t>
  </si>
  <si>
    <t xml:space="preserve">E. GOVERNMENT FEES</t>
  </si>
  <si>
    <t xml:space="preserve">Recording Fee - Mortgage</t>
  </si>
  <si>
    <t xml:space="preserve">Paid to RTA</t>
  </si>
  <si>
    <t xml:space="preserve">Total Section E</t>
  </si>
  <si>
    <t xml:space="preserve">TOTAL CLOSING COSTS</t>
  </si>
  <si>
    <t xml:space="preserve">TOTAL LENDER/CLOSING FEES</t>
  </si>
  <si>
    <t xml:space="preserve">No existing mortgage — full proceeds available to borrower</t>
  </si>
  <si>
    <t xml:space="preserve">ESCROW — INPUTS &amp; MONTHLY</t>
  </si>
  <si>
    <t xml:space="preserve">Annual HOI Premium</t>
  </si>
  <si>
    <t xml:space="preserve">Allstate Policy 942-352-172 | Exp 10/23/26</t>
  </si>
  <si>
    <t xml:space="preserve">Monthly HOI</t>
  </si>
  <si>
    <t xml:space="preserve">Collected monthly</t>
  </si>
  <si>
    <t xml:space="preserve">Annual Property Tax</t>
  </si>
  <si>
    <t xml:space="preserve">Johnson Co. 2025 actual — PAID | estimate for 2026</t>
  </si>
  <si>
    <t xml:space="preserve">Monthly Tax</t>
  </si>
  <si>
    <t xml:space="preserve">Total Monthly Escrow Collection</t>
  </si>
  <si>
    <t xml:space="preserve">HOI + Tax</t>
  </si>
  <si>
    <t xml:space="preserve">AGGREGATE ESCROW ANALYSIS — 12-MONTH PROJECTION (RESPA Reg X)</t>
  </si>
  <si>
    <t xml:space="preserve">Closing April 24, 2026 | First payment June 1, 2026 | HOI disbursement Oct 23, 2026 | Tax 1st half Dec 20, 2026 | Tax 2nd half May 10, 2027</t>
  </si>
  <si>
    <t xml:space="preserve">All three loan amounts carry identical escrow — table driven by $600K column for illustration</t>
  </si>
  <si>
    <t xml:space="preserve">Month</t>
  </si>
  <si>
    <t xml:space="preserve">Opening Balance</t>
  </si>
  <si>
    <t xml:space="preserve">+ Collection</t>
  </si>
  <si>
    <t xml:space="preserve">- Disbursement</t>
  </si>
  <si>
    <t xml:space="preserve">Closing Balance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</si>
  <si>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</si>
  <si>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</si>
  <si>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</si>
  <si>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</si>
  <si>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</si>
  <si>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</si>
  <si>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</si>
  <si>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</si>
  <si>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</si>
  <si>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</si>
  <si>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</si>
  <si>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</si>
  <si>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AGGREGATE ADJUSTMENT CALCULATION</t>
  </si>
  <si>
    <t xml:space="preserve">Required Cushion (2 months)</t>
  </si>
  <si>
    <t xml:space="preserve">RESPA max = 1/6 annual = 2 months</t>
  </si>
  <si>
    <t xml:space="preserve">Cushion Amount (2 × monthly)</t>
  </si>
  <si>
    <t xml:space="preserve">2 × total monthly escrow collection</t>
  </si>
  <si>
    <t xml:space="preserve">Trial Balance (opening=0): finds cumulative min to determine required deposit</t>
  </si>
  <si>
    <t xml:space="preserve">Minimum Trial Balance (opening=0)</t>
  </si>
  <si>
    <t xml:space="preserve">Lowest point in 12-month cycle</t>
  </si>
  <si>
    <t xml:space="preserve">Required Opening Deposit</t>
  </si>
  <si>
    <t xml:space="preserve">MAX(0, cushion - min trial)</t>
  </si>
  <si>
    <t xml:space="preserve">Naive Initial Deposit (6 months)</t>
  </si>
  <si>
    <t xml:space="preserve">4 mo accrued + 2 mo cushion (non-aggregate)</t>
  </si>
  <si>
    <t xml:space="preserve">AGGREGATE ADJUSTMENT (Credit to Borrower)</t>
  </si>
  <si>
    <t xml:space="preserve">Negative = credit on CD (Sec G)</t>
  </si>
  <si>
    <t xml:space="preserve">PREPAID INTEREST</t>
  </si>
  <si>
    <t xml:space="preserve">Closing Date Days Remaining in Month</t>
  </si>
  <si>
    <t xml:space="preserve">Apr 25-30 (closing Apr 24)</t>
  </si>
  <si>
    <t xml:space="preserve">Daily Interest</t>
  </si>
  <si>
    <t xml:space="preserve">Loan × rate ÷ 365</t>
  </si>
  <si>
    <t xml:space="preserve">Prepaid Interest</t>
  </si>
  <si>
    <t xml:space="preserve">Apr 25-30 | First pmt June 1</t>
  </si>
  <si>
    <t xml:space="preserve">HOI PREPAID (SECTION F)</t>
  </si>
  <si>
    <t xml:space="preserve">Days to HOI Renewal (Apr 24 → Oct 23)</t>
  </si>
  <si>
    <t xml:space="preserve">Apr 24 to Oct 23, 2026</t>
  </si>
  <si>
    <t xml:space="preserve">HOI Prepaid</t>
  </si>
  <si>
    <t xml:space="preserve">Daily rate × 182 days</t>
  </si>
  <si>
    <t xml:space="preserve">ESTIMATED MONTHLY PITI</t>
  </si>
  <si>
    <t xml:space="preserve">Principal &amp; Interest</t>
  </si>
  <si>
    <t xml:space="preserve">Monthly HOI Escrow</t>
  </si>
  <si>
    <t xml:space="preserve">Allstate $6,214.51/yr</t>
  </si>
  <si>
    <t xml:space="preserve">Monthly Tax Escrow</t>
  </si>
  <si>
    <t xml:space="preserve">Johnson Co. $12,012.98/yr</t>
  </si>
  <si>
    <t xml:space="preserve">TOTAL PITI</t>
  </si>
  <si>
    <t xml:space="preserve">MONTHLY DEBT OBLIGATIONS (FROM CREDIT REPORT)</t>
  </si>
  <si>
    <t xml:space="preserve">Source: Credit report | All debts per Fannie Mae B3-6 | RSU / stock option income NOT used in any scenario</t>
  </si>
  <si>
    <t xml:space="preserve">Installment</t>
  </si>
  <si>
    <t xml:space="preserve">Wells Fargo Auto (51588055XXXX)</t>
  </si>
  <si>
    <t xml:space="preserve">Balance $11,854</t>
  </si>
  <si>
    <t xml:space="preserve">Toyota Financial (7040056580652XXXX)</t>
  </si>
  <si>
    <t xml:space="preserve">Balance $34,421</t>
  </si>
  <si>
    <t xml:space="preserve">Total Installment</t>
  </si>
  <si>
    <t xml:space="preserve">$1,294/mo</t>
  </si>
  <si>
    <t xml:space="preserve">Revolving</t>
  </si>
  <si>
    <t xml:space="preserve">JPMCB Card Svcs (0126)</t>
  </si>
  <si>
    <t xml:space="preserve">Balance $22,054 — PAYOFF CANDIDATE</t>
  </si>
  <si>
    <t xml:space="preserve">Discover Card (7058)</t>
  </si>
  <si>
    <t xml:space="preserve">Balance $7,635</t>
  </si>
  <si>
    <t xml:space="preserve">Citicards CBNA (2152)</t>
  </si>
  <si>
    <t xml:space="preserve">Balance $5,142</t>
  </si>
  <si>
    <t xml:space="preserve">Nordstrom/TD Bank (4525)</t>
  </si>
  <si>
    <t xml:space="preserve">Balance $4,765</t>
  </si>
  <si>
    <t xml:space="preserve">JPMCB Card Svcs (0658)</t>
  </si>
  <si>
    <t xml:space="preserve">Balance $19,104 — PAYOFF CANDIDATE</t>
  </si>
  <si>
    <t xml:space="preserve">Total Revolving</t>
  </si>
  <si>
    <t xml:space="preserve">$1,491/mo</t>
  </si>
  <si>
    <t xml:space="preserve">TOTAL MONTHLY OBLIGATIONS</t>
  </si>
  <si>
    <t xml:space="preserve">$2,785/mo</t>
  </si>
  <si>
    <t xml:space="preserve">SCENARIO 1 — ALL DEBTS INCLUDED | NO PAYOFFS | BASE + BONUS INCOME ONLY</t>
  </si>
  <si>
    <t xml:space="preserve">⚠  Exceeds 45% back-end DTI on all loan amounts. Needs DU approval + strong compensating factors. RSU NOT used.</t>
  </si>
  <si>
    <t xml:space="preserve">Qualifying Monthly Income</t>
  </si>
  <si>
    <t xml:space="preserve">Base $15,229.37 + Bonus $609.17 | RSU excl.</t>
  </si>
  <si>
    <t xml:space="preserve">PITI</t>
  </si>
  <si>
    <t xml:space="preserve">From PITI section</t>
  </si>
  <si>
    <t xml:space="preserve">Total Monthly Obligations</t>
  </si>
  <si>
    <t xml:space="preserve">All debts</t>
  </si>
  <si>
    <t xml:space="preserve">Total Housing + Debts</t>
  </si>
  <si>
    <t xml:space="preserve">BACK-END DTI</t>
  </si>
  <si>
    <t xml:space="preserve">⚠ Exceeds 45% — conv not clean</t>
  </si>
  <si>
    <t xml:space="preserve">Front-End DTI</t>
  </si>
  <si>
    <t xml:space="preserve">SCENARIO 2 — JPMCB CARDS PAID AT CLOSING FROM PROCEEDS | BASE + BONUS INCOME ONLY</t>
  </si>
  <si>
    <t xml:space="preserve">✓  JPMCB 0126 + 0658 paid at closing | Payoff letters required on CD | Run DU with payoff toggled ON | Cards must show $0 to omit from DTI | RSU NOT used</t>
  </si>
  <si>
    <t xml:space="preserve">JPMCB 0126 Payoff Balance</t>
  </si>
  <si>
    <t xml:space="preserve">Deducted from proceeds on CD</t>
  </si>
  <si>
    <t xml:space="preserve">JPMCB 0658 Payoff Balance</t>
  </si>
  <si>
    <t xml:space="preserve">Total JPMCB Payoffs</t>
  </si>
  <si>
    <t xml:space="preserve">$41,158 off net proceeds</t>
  </si>
  <si>
    <t xml:space="preserve">Remaining Obligations (ex-JPMCB)</t>
  </si>
  <si>
    <t xml:space="preserve">Auto + Discover + Citi + Nordstrom = $1,645/mo</t>
  </si>
  <si>
    <t xml:space="preserve">✓ $600K ~43% | All scenarios under 45%</t>
  </si>
  <si>
    <t xml:space="preserve">NET PROCEEDS TO BORROWER — SCENARIO COMPARISON</t>
  </si>
  <si>
    <t xml:space="preserve">Net to Borrower — Scenario 1 (No Payoffs)</t>
  </si>
  <si>
    <t xml:space="preserve">Free &amp; clear — full proceeds minus closing costs, prepaids, escrow deposit</t>
  </si>
  <si>
    <t xml:space="preserve">Net to Borrower — Scenario 2 (After JPMCB Payoffs)</t>
  </si>
  <si>
    <t xml:space="preserve">Full proceeds minus closing costs, prepaids, escrow deposit, $41,158 JPMCB payoffs</t>
  </si>
  <si>
    <t xml:space="preserve">DTI Payment Relief from Payoffs</t>
  </si>
  <si>
    <t xml:space="preserve">$577 + $563 = $1,140/mo removed from DTI</t>
  </si>
  <si>
    <t xml:space="preserve">SCENARIO 3 — RSU INCOME IF CONTINUANCE DOCUMENTED (Reference Only — NOT CURRENT)</t>
  </si>
  <si>
    <t xml:space="preserve">ℹ  Requires: Garmin equity award statement showing future grants + employer confirmation. Fannie B3-3.1-09 | 2-yr W-2 history ✓ | Continuance pending</t>
  </si>
  <si>
    <t xml:space="preserve">Base + Bonus</t>
  </si>
  <si>
    <t xml:space="preserve">Same as Scenarios 1 &amp; 2</t>
  </si>
  <si>
    <t xml:space="preserve">RSU (2-yr avg, if documented)</t>
  </si>
  <si>
    <t xml:space="preserve">NOT currently used</t>
  </si>
  <si>
    <t xml:space="preserve">Total Qualifying w/ RSU</t>
  </si>
  <si>
    <t xml:space="preserve">If RSU continuance documented</t>
  </si>
  <si>
    <t xml:space="preserve">Back-End DTI w/ RSU (all debts)</t>
  </si>
  <si>
    <t xml:space="preserve">✓ All scenarios cleanly under 45%</t>
  </si>
  <si>
    <t xml:space="preserve">• RSU / stock option income NOT used in Scenarios 1 or 2 — income = Base $15,229.37 + Bonus $609.17 = $15,838.54/mo only</t>
  </si>
  <si>
    <t xml:space="preserve">• Scenario 1: All debts $2,785/mo | All loan amounts exceed 45% DTI without payoffs</t>
  </si>
  <si>
    <t xml:space="preserve">• Scenario 2: JPMCB 0126 ($22,054) + 0658 ($19,104) = $41,158 paid at closing | $1,140/mo removed from DTI | $600K → ~43%</t>
  </si>
  <si>
    <t xml:space="preserve">• Scenario 2 requires: payoff letters, amounts on CD, DU run with payoff toggled, accounts paid to $0</t>
  </si>
  <si>
    <t xml:space="preserve">• Scenario 3 (reference): RSU $6,251/mo if Garmin equity award stmt + employer letter confirms future grants</t>
  </si>
  <si>
    <t xml:space="preserve">• Fannie Mae B3-6 liabilities | Conv max 45% DTI | 50% possible w/ strong DU Approve/Eligible + compensating factors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</si>
</sst>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0%"/>
    <numFmt numFmtId="167" formatCode="0"/>
    <numFmt numFmtId="168" formatCode="0.0%"/>
    <numFmt numFmtId="169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8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375623"/>
      <rgbColor rgb="FF444444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"/>
    <col collapsed="false" customWidth="true" hidden="false" outlineLevel="0" max="4" min="2" style="1" width="17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5" customFormat="false" ht="21.75" hidden="false" customHeight="true" outlineLevel="0" collapsed="false">
      <c r="A5" s="5"/>
      <c r="B5" s="5" t="s">
        <v>3</v>
      </c>
      <c r="C5" s="5" t="s">
        <v>4</v>
      </c>
      <c r="D5" s="5" t="s">
        <v>5</v>
      </c>
      <c r="E5" s="5" t="s">
        <v>6</v>
      </c>
    </row>
    <row r="7" customFormat="false" ht="18" hidden="false" customHeight="true" outlineLevel="0" collapsed="false">
      <c r="A7" s="6" t="s">
        <v>7</v>
      </c>
      <c r="B7" s="6"/>
      <c r="C7" s="6"/>
      <c r="D7" s="6"/>
      <c r="E7" s="6"/>
    </row>
    <row r="8" customFormat="false" ht="15" hidden="false" customHeight="true" outlineLevel="0" collapsed="false">
      <c r="A8" s="7" t="s">
        <v>8</v>
      </c>
      <c r="B8" s="8" t="n">
        <v>500000</v>
      </c>
      <c r="C8" s="8" t="n">
        <v>550000</v>
      </c>
      <c r="D8" s="8" t="n">
        <v>600000</v>
      </c>
      <c r="E8" s="9"/>
    </row>
    <row r="9" customFormat="false" ht="15" hidden="false" customHeight="true" outlineLevel="0" collapsed="false">
      <c r="A9" s="10" t="s">
        <v>9</v>
      </c>
      <c r="B9" s="11" t="n">
        <v>0.06125</v>
      </c>
      <c r="C9" s="11" t="n">
        <v>0.06125</v>
      </c>
      <c r="D9" s="11" t="n">
        <v>0.06125</v>
      </c>
      <c r="E9" s="9" t="s">
        <v>10</v>
      </c>
    </row>
    <row r="10" customFormat="false" ht="15" hidden="false" customHeight="true" outlineLevel="0" collapsed="false">
      <c r="A10" s="10" t="s">
        <v>11</v>
      </c>
      <c r="B10" s="12" t="n">
        <v>360</v>
      </c>
      <c r="C10" s="12" t="n">
        <v>360</v>
      </c>
      <c r="D10" s="12" t="n">
        <v>360</v>
      </c>
      <c r="E10" s="9" t="s">
        <v>12</v>
      </c>
    </row>
    <row r="11" customFormat="false" ht="15" hidden="false" customHeight="true" outlineLevel="0" collapsed="false">
      <c r="A11" s="13" t="s">
        <v>13</v>
      </c>
      <c r="B11" s="14" t="n">
        <f aca="false">B8*(B9/12)/(1-(1+B9/12)^(-B10))</f>
        <v>3038.05269790345</v>
      </c>
      <c r="C11" s="14" t="n">
        <f aca="false">C8*(C9/12)/(1-(1+C9/12)^(-C10))</f>
        <v>3341.8579676938</v>
      </c>
      <c r="D11" s="14" t="n">
        <f aca="false">D8*(D9/12)/(1-(1+D9/12)^(-D10))</f>
        <v>3645.66323748415</v>
      </c>
      <c r="E11" s="15" t="s">
        <v>14</v>
      </c>
    </row>
    <row r="12" customFormat="false" ht="15" hidden="false" customHeight="true" outlineLevel="0" collapsed="false">
      <c r="A12" s="10" t="s">
        <v>15</v>
      </c>
      <c r="B12" s="11" t="n">
        <v>0.0614</v>
      </c>
      <c r="C12" s="11" t="n">
        <v>0.0614</v>
      </c>
      <c r="D12" s="11" t="n">
        <v>0.0614</v>
      </c>
      <c r="E12" s="9" t="s">
        <v>16</v>
      </c>
    </row>
    <row r="14" customFormat="false" ht="18" hidden="false" customHeight="true" outlineLevel="0" collapsed="false">
      <c r="A14" s="6" t="s">
        <v>17</v>
      </c>
      <c r="B14" s="6"/>
      <c r="C14" s="6"/>
      <c r="D14" s="6"/>
      <c r="E14" s="6"/>
    </row>
    <row r="15" customFormat="false" ht="15" hidden="false" customHeight="true" outlineLevel="0" collapsed="false">
      <c r="A15" s="10" t="s">
        <v>18</v>
      </c>
      <c r="B15" s="16" t="n">
        <v>1095</v>
      </c>
      <c r="C15" s="16" t="n">
        <v>1095</v>
      </c>
      <c r="D15" s="16" t="n">
        <v>1095</v>
      </c>
      <c r="E15" s="9" t="s">
        <v>19</v>
      </c>
    </row>
    <row r="16" customFormat="false" ht="15" hidden="false" customHeight="true" outlineLevel="0" collapsed="false">
      <c r="A16" s="10" t="s">
        <v>20</v>
      </c>
      <c r="B16" s="16" t="n">
        <v>-768</v>
      </c>
      <c r="C16" s="16" t="n">
        <v>-768</v>
      </c>
      <c r="D16" s="16" t="n">
        <v>-768</v>
      </c>
      <c r="E16" s="9" t="s">
        <v>21</v>
      </c>
    </row>
    <row r="17" customFormat="false" ht="15" hidden="false" customHeight="true" outlineLevel="0" collapsed="false">
      <c r="A17" s="13" t="s">
        <v>22</v>
      </c>
      <c r="B17" s="14" t="n">
        <f aca="false">B15+B16</f>
        <v>327</v>
      </c>
      <c r="C17" s="14" t="n">
        <f aca="false">C15+C16</f>
        <v>327</v>
      </c>
      <c r="D17" s="14" t="n">
        <f aca="false">D15+D16</f>
        <v>327</v>
      </c>
      <c r="E17" s="15"/>
    </row>
    <row r="19" customFormat="false" ht="18" hidden="false" customHeight="true" outlineLevel="0" collapsed="false">
      <c r="A19" s="6" t="s">
        <v>23</v>
      </c>
      <c r="B19" s="6"/>
      <c r="C19" s="6"/>
      <c r="D19" s="6"/>
      <c r="E19" s="6"/>
    </row>
    <row r="20" customFormat="false" ht="15" hidden="false" customHeight="true" outlineLevel="0" collapsed="false">
      <c r="A20" s="10" t="s">
        <v>24</v>
      </c>
      <c r="B20" s="16" t="n">
        <v>81</v>
      </c>
      <c r="C20" s="16" t="n">
        <v>81</v>
      </c>
      <c r="D20" s="16" t="n">
        <v>81</v>
      </c>
      <c r="E20" s="9" t="s">
        <v>25</v>
      </c>
    </row>
    <row r="21" customFormat="false" ht="15" hidden="false" customHeight="true" outlineLevel="0" collapsed="false">
      <c r="A21" s="10" t="s">
        <v>26</v>
      </c>
      <c r="B21" s="16" t="n">
        <v>3.4</v>
      </c>
      <c r="C21" s="16" t="n">
        <v>3.4</v>
      </c>
      <c r="D21" s="16" t="n">
        <v>3.4</v>
      </c>
      <c r="E21" s="9"/>
    </row>
    <row r="22" customFormat="false" ht="15" hidden="false" customHeight="true" outlineLevel="0" collapsed="false">
      <c r="A22" s="10" t="s">
        <v>27</v>
      </c>
      <c r="B22" s="16" t="n">
        <v>5.5</v>
      </c>
      <c r="C22" s="16" t="n">
        <v>5.5</v>
      </c>
      <c r="D22" s="16" t="n">
        <v>5.5</v>
      </c>
      <c r="E22" s="9"/>
    </row>
    <row r="23" customFormat="false" ht="15" hidden="false" customHeight="true" outlineLevel="0" collapsed="false">
      <c r="A23" s="10" t="s">
        <v>28</v>
      </c>
      <c r="B23" s="16" t="n">
        <v>390</v>
      </c>
      <c r="C23" s="16" t="n">
        <v>390</v>
      </c>
      <c r="D23" s="16" t="n">
        <v>390</v>
      </c>
      <c r="E23" s="9" t="s">
        <v>29</v>
      </c>
    </row>
    <row r="24" customFormat="false" ht="15" hidden="false" customHeight="true" outlineLevel="0" collapsed="false">
      <c r="A24" s="10" t="s">
        <v>30</v>
      </c>
      <c r="B24" s="16" t="n">
        <v>250</v>
      </c>
      <c r="C24" s="16" t="n">
        <v>250</v>
      </c>
      <c r="D24" s="16" t="n">
        <v>250</v>
      </c>
      <c r="E24" s="9" t="s">
        <v>29</v>
      </c>
    </row>
    <row r="25" customFormat="false" ht="15" hidden="false" customHeight="true" outlineLevel="0" collapsed="false">
      <c r="A25" s="13" t="s">
        <v>31</v>
      </c>
      <c r="B25" s="14" t="n">
        <f aca="false">SUM(B20:B24)</f>
        <v>729.9</v>
      </c>
      <c r="C25" s="14" t="n">
        <f aca="false">SUM(C20:C24)</f>
        <v>729.9</v>
      </c>
      <c r="D25" s="14" t="n">
        <f aca="false">SUM(D20:D24)</f>
        <v>729.9</v>
      </c>
      <c r="E25" s="15"/>
    </row>
    <row r="27" customFormat="false" ht="18" hidden="false" customHeight="true" outlineLevel="0" collapsed="false">
      <c r="A27" s="6" t="s">
        <v>32</v>
      </c>
      <c r="B27" s="6"/>
      <c r="C27" s="6"/>
      <c r="D27" s="6"/>
      <c r="E27" s="6"/>
    </row>
    <row r="28" customFormat="false" ht="15" hidden="false" customHeight="true" outlineLevel="0" collapsed="false">
      <c r="A28" s="10" t="s">
        <v>33</v>
      </c>
      <c r="B28" s="16" t="n">
        <v>645</v>
      </c>
      <c r="C28" s="16" t="n">
        <v>645</v>
      </c>
      <c r="D28" s="16" t="n">
        <v>645</v>
      </c>
      <c r="E28" s="9" t="s">
        <v>34</v>
      </c>
    </row>
    <row r="29" customFormat="false" ht="15" hidden="false" customHeight="true" outlineLevel="0" collapsed="false">
      <c r="A29" s="10" t="s">
        <v>35</v>
      </c>
      <c r="B29" s="16" t="n">
        <v>50</v>
      </c>
      <c r="C29" s="16" t="n">
        <v>50</v>
      </c>
      <c r="D29" s="16" t="n">
        <v>50</v>
      </c>
      <c r="E29" s="9"/>
    </row>
    <row r="30" customFormat="false" ht="15" hidden="false" customHeight="true" outlineLevel="0" collapsed="false">
      <c r="A30" s="10" t="s">
        <v>36</v>
      </c>
      <c r="B30" s="16" t="n">
        <v>150</v>
      </c>
      <c r="C30" s="16" t="n">
        <v>150</v>
      </c>
      <c r="D30" s="16" t="n">
        <v>150</v>
      </c>
      <c r="E30" s="9"/>
    </row>
    <row r="31" customFormat="false" ht="15" hidden="false" customHeight="true" outlineLevel="0" collapsed="false">
      <c r="A31" s="10" t="s">
        <v>37</v>
      </c>
      <c r="B31" s="16" t="n">
        <v>30</v>
      </c>
      <c r="C31" s="16" t="n">
        <v>30</v>
      </c>
      <c r="D31" s="16" t="n">
        <v>30</v>
      </c>
      <c r="E31" s="9" t="s">
        <v>29</v>
      </c>
    </row>
    <row r="32" customFormat="false" ht="15" hidden="false" customHeight="true" outlineLevel="0" collapsed="false">
      <c r="A32" s="10" t="s">
        <v>38</v>
      </c>
      <c r="B32" s="16" t="n">
        <v>425</v>
      </c>
      <c r="C32" s="16" t="n">
        <v>425</v>
      </c>
      <c r="D32" s="16" t="n">
        <v>425</v>
      </c>
      <c r="E32" s="9" t="s">
        <v>39</v>
      </c>
    </row>
    <row r="33" customFormat="false" ht="15" hidden="false" customHeight="true" outlineLevel="0" collapsed="false">
      <c r="A33" s="13" t="s">
        <v>40</v>
      </c>
      <c r="B33" s="14" t="n">
        <f aca="false">SUM(B28:B32)</f>
        <v>1300</v>
      </c>
      <c r="C33" s="14" t="n">
        <f aca="false">SUM(C28:C32)</f>
        <v>1300</v>
      </c>
      <c r="D33" s="14" t="n">
        <f aca="false">SUM(D28:D32)</f>
        <v>1300</v>
      </c>
      <c r="E33" s="15"/>
    </row>
    <row r="35" customFormat="false" ht="18" hidden="false" customHeight="true" outlineLevel="0" collapsed="false">
      <c r="A35" s="6" t="s">
        <v>41</v>
      </c>
      <c r="B35" s="6"/>
      <c r="C35" s="6"/>
      <c r="D35" s="6"/>
      <c r="E35" s="6"/>
    </row>
    <row r="36" customFormat="false" ht="15" hidden="false" customHeight="true" outlineLevel="0" collapsed="false">
      <c r="A36" s="10" t="s">
        <v>42</v>
      </c>
      <c r="B36" s="16" t="n">
        <v>361</v>
      </c>
      <c r="C36" s="16" t="n">
        <v>361</v>
      </c>
      <c r="D36" s="16" t="n">
        <v>361</v>
      </c>
      <c r="E36" s="9" t="s">
        <v>43</v>
      </c>
    </row>
    <row r="37" customFormat="false" ht="15" hidden="false" customHeight="true" outlineLevel="0" collapsed="false">
      <c r="A37" s="13" t="s">
        <v>44</v>
      </c>
      <c r="B37" s="14" t="n">
        <f aca="false">B36</f>
        <v>361</v>
      </c>
      <c r="C37" s="14" t="n">
        <f aca="false">C36</f>
        <v>361</v>
      </c>
      <c r="D37" s="14" t="n">
        <f aca="false">D36</f>
        <v>361</v>
      </c>
      <c r="E37" s="15"/>
    </row>
    <row r="39" customFormat="false" ht="18" hidden="false" customHeight="true" outlineLevel="0" collapsed="false">
      <c r="A39" s="6" t="s">
        <v>45</v>
      </c>
      <c r="B39" s="6"/>
      <c r="C39" s="6"/>
      <c r="D39" s="6"/>
      <c r="E39" s="6"/>
    </row>
    <row r="40" customFormat="false" ht="15" hidden="false" customHeight="true" outlineLevel="0" collapsed="false">
      <c r="A40" s="13" t="s">
        <v>46</v>
      </c>
      <c r="B40" s="14" t="n">
        <f aca="false">B17+B25+B33+B37</f>
        <v>2717.9</v>
      </c>
      <c r="C40" s="14" t="n">
        <f aca="false">C17+C25+C33+C37</f>
        <v>2717.9</v>
      </c>
      <c r="D40" s="14" t="n">
        <f aca="false">D17+D25+D33+D37</f>
        <v>2717.9</v>
      </c>
      <c r="E40" s="17" t="s">
        <v>47</v>
      </c>
    </row>
    <row r="42" customFormat="false" ht="18" hidden="false" customHeight="true" outlineLevel="0" collapsed="false">
      <c r="A42" s="6" t="s">
        <v>48</v>
      </c>
      <c r="B42" s="6"/>
      <c r="C42" s="6"/>
      <c r="D42" s="6"/>
      <c r="E42" s="6"/>
    </row>
    <row r="43" customFormat="false" ht="15" hidden="false" customHeight="true" outlineLevel="0" collapsed="false">
      <c r="A43" s="10" t="s">
        <v>49</v>
      </c>
      <c r="B43" s="16" t="n">
        <v>6214.51</v>
      </c>
      <c r="C43" s="16" t="n">
        <v>6214.51</v>
      </c>
      <c r="D43" s="16" t="n">
        <v>6214.51</v>
      </c>
      <c r="E43" s="9" t="s">
        <v>50</v>
      </c>
    </row>
    <row r="44" customFormat="false" ht="15" hidden="false" customHeight="true" outlineLevel="0" collapsed="false">
      <c r="A44" s="10" t="s">
        <v>51</v>
      </c>
      <c r="B44" s="18" t="n">
        <f aca="false">B43/12</f>
        <v>517.875833333333</v>
      </c>
      <c r="C44" s="18" t="n">
        <f aca="false">C43/12</f>
        <v>517.875833333333</v>
      </c>
      <c r="D44" s="18" t="n">
        <f aca="false">D43/12</f>
        <v>517.875833333333</v>
      </c>
      <c r="E44" s="9" t="s">
        <v>52</v>
      </c>
    </row>
    <row r="45" customFormat="false" ht="15" hidden="false" customHeight="true" outlineLevel="0" collapsed="false">
      <c r="A45" s="10" t="s">
        <v>53</v>
      </c>
      <c r="B45" s="16" t="n">
        <v>12012.98</v>
      </c>
      <c r="C45" s="16" t="n">
        <v>12012.98</v>
      </c>
      <c r="D45" s="16" t="n">
        <v>12012.98</v>
      </c>
      <c r="E45" s="9" t="s">
        <v>54</v>
      </c>
    </row>
    <row r="46" customFormat="false" ht="15" hidden="false" customHeight="true" outlineLevel="0" collapsed="false">
      <c r="A46" s="10" t="s">
        <v>55</v>
      </c>
      <c r="B46" s="18" t="n">
        <f aca="false">B45/12</f>
        <v>1001.08166666667</v>
      </c>
      <c r="C46" s="18" t="n">
        <f aca="false">C45/12</f>
        <v>1001.08166666667</v>
      </c>
      <c r="D46" s="18" t="n">
        <f aca="false">D45/12</f>
        <v>1001.08166666667</v>
      </c>
      <c r="E46" s="9" t="s">
        <v>52</v>
      </c>
    </row>
    <row r="47" customFormat="false" ht="15" hidden="false" customHeight="true" outlineLevel="0" collapsed="false">
      <c r="A47" s="13" t="s">
        <v>56</v>
      </c>
      <c r="B47" s="14" t="n">
        <f aca="false">B44+B46</f>
        <v>1518.9575</v>
      </c>
      <c r="C47" s="14" t="n">
        <f aca="false">C44+C46</f>
        <v>1518.9575</v>
      </c>
      <c r="D47" s="14" t="n">
        <f aca="false">D44+D46</f>
        <v>1518.9575</v>
      </c>
      <c r="E47" s="15" t="s">
        <v>57</v>
      </c>
    </row>
    <row r="49" customFormat="false" ht="18" hidden="false" customHeight="true" outlineLevel="0" collapsed="false">
      <c r="A49" s="6" t="s">
        <v>58</v>
      </c>
      <c r="B49" s="6"/>
      <c r="C49" s="6"/>
      <c r="D49" s="6"/>
      <c r="E49" s="6"/>
    </row>
    <row r="50" customFormat="false" ht="15" hidden="false" customHeight="true" outlineLevel="0" collapsed="false">
      <c r="A50" s="19" t="s">
        <v>59</v>
      </c>
      <c r="B50" s="19"/>
      <c r="C50" s="19"/>
      <c r="D50" s="19"/>
      <c r="E50" s="19"/>
    </row>
    <row r="51" customFormat="false" ht="15" hidden="false" customHeight="true" outlineLevel="0" collapsed="false">
      <c r="A51" s="20" t="s">
        <v>60</v>
      </c>
      <c r="B51" s="20"/>
      <c r="C51" s="20"/>
      <c r="D51" s="20"/>
      <c r="E51" s="20"/>
    </row>
    <row r="53" customFormat="false" ht="18" hidden="false" customHeight="true" outlineLevel="0" collapsed="false">
      <c r="A53" s="21" t="s">
        <v>61</v>
      </c>
      <c r="B53" s="21" t="s">
        <v>62</v>
      </c>
      <c r="C53" s="21" t="s">
        <v>63</v>
      </c>
      <c r="D53" s="21" t="s">
        <v>64</v>
      </c>
      <c r="E53" s="21" t="s">
        <v>65</v>
      </c>
    </row>
    <row r="54" customFormat="false" ht="15" hidden="false" customHeight="true" outlineLevel="0" collapsed="false">
      <c r="A54" s="10" t="s">
        <v>66</v>
      </c>
      <c r="B54" s="22" t="n">
        <f aca="false">D86</f>
        <v>4626.2125</v>
      </c>
      <c r="C54" s="22" t="n">
        <f aca="false">D47</f>
        <v>1518.9575</v>
      </c>
      <c r="D54" s="22" t="n">
        <v>0</v>
      </c>
      <c r="E54" s="22" t="n">
        <f aca="false">B54+C54-D54</f>
        <v>6145.17</v>
      </c>
    </row>
    <row r="55" customFormat="false" ht="15" hidden="false" customHeight="true" outlineLevel="0" collapsed="false">
      <c r="A55" s="10" t="s">
        <v>67</v>
      </c>
      <c r="B55" s="22" t="n">
        <f aca="false">E54</f>
        <v>6145.17</v>
      </c>
      <c r="C55" s="22" t="n">
        <f aca="false">D47</f>
        <v>1518.9575</v>
      </c>
      <c r="D55" s="22" t="n">
        <v>0</v>
      </c>
      <c r="E55" s="22" t="n">
        <f aca="false">B55+C55-D55</f>
        <v>7664.1275</v>
      </c>
    </row>
    <row r="56" customFormat="false" ht="15" hidden="false" customHeight="true" outlineLevel="0" collapsed="false">
      <c r="A56" s="10" t="s">
        <v>68</v>
      </c>
      <c r="B56" s="22" t="n">
        <f aca="false">E55</f>
        <v>7664.1275</v>
      </c>
      <c r="C56" s="22" t="n">
        <f aca="false">D47</f>
        <v>1518.9575</v>
      </c>
      <c r="D56" s="22" t="n">
        <v>0</v>
      </c>
      <c r="E56" s="22" t="n">
        <f aca="false">B56+C56-D56</f>
        <v>9183.085</v>
      </c>
    </row>
    <row r="57" customFormat="false" ht="15" hidden="false" customHeight="true" outlineLevel="0" collapsed="false">
      <c r="A57" s="10" t="s">
        <v>69</v>
      </c>
      <c r="B57" s="22" t="n">
        <f aca="false">E56</f>
        <v>9183.085</v>
      </c>
      <c r="C57" s="22" t="n">
        <f aca="false">D47</f>
        <v>1518.9575</v>
      </c>
      <c r="D57" s="22" t="n">
        <v>0</v>
      </c>
      <c r="E57" s="22" t="n">
        <f aca="false">B57+C57-D57</f>
        <v>10702.0425</v>
      </c>
    </row>
    <row r="58" customFormat="false" ht="15" hidden="false" customHeight="true" outlineLevel="0" collapsed="false">
      <c r="A58" s="23" t="s">
        <v>70</v>
      </c>
      <c r="B58" s="24" t="n">
        <f aca="false">E57</f>
        <v>10702.0425</v>
      </c>
      <c r="C58" s="24" t="n">
        <f aca="false">D47</f>
        <v>1518.9575</v>
      </c>
      <c r="D58" s="24" t="n">
        <f aca="false">D43</f>
        <v>6214.51</v>
      </c>
      <c r="E58" s="24" t="n">
        <f aca="false">B58+C58-D58</f>
        <v>6006.49</v>
      </c>
    </row>
    <row r="59" customFormat="false" ht="15" hidden="false" customHeight="true" outlineLevel="0" collapsed="false">
      <c r="A59" s="10" t="s">
        <v>71</v>
      </c>
      <c r="B59" s="22" t="n">
        <f aca="false">E58</f>
        <v>6006.49</v>
      </c>
      <c r="C59" s="22" t="n">
        <f aca="false">D47</f>
        <v>1518.9575</v>
      </c>
      <c r="D59" s="22" t="n">
        <v>0</v>
      </c>
      <c r="E59" s="22" t="n">
        <f aca="false">B59+C59-D59</f>
        <v>7525.4475</v>
      </c>
    </row>
    <row r="60" customFormat="false" ht="15" hidden="false" customHeight="true" outlineLevel="0" collapsed="false">
      <c r="A60" s="23" t="s">
        <v>72</v>
      </c>
      <c r="B60" s="24" t="n">
        <f aca="false">E59</f>
        <v>7525.4475</v>
      </c>
      <c r="C60" s="24" t="n">
        <f aca="false">D47</f>
        <v>1518.9575</v>
      </c>
      <c r="D60" s="24" t="n">
        <f aca="false">D45/2</f>
        <v>6006.49</v>
      </c>
      <c r="E60" s="24" t="n">
        <f aca="false">B60+C60-D60</f>
        <v>3037.915</v>
      </c>
    </row>
    <row r="61" customFormat="false" ht="15" hidden="false" customHeight="true" outlineLevel="0" collapsed="false">
      <c r="A61" s="10" t="s">
        <v>73</v>
      </c>
      <c r="B61" s="22" t="n">
        <f aca="false">E60</f>
        <v>3037.915</v>
      </c>
      <c r="C61" s="22" t="n">
        <f aca="false">D47</f>
        <v>1518.9575</v>
      </c>
      <c r="D61" s="22" t="n">
        <v>0</v>
      </c>
      <c r="E61" s="22" t="n">
        <f aca="false">B61+C61-D61</f>
        <v>4556.8725</v>
      </c>
    </row>
    <row r="62" customFormat="false" ht="15" hidden="false" customHeight="true" outlineLevel="0" collapsed="false">
      <c r="A62" s="10" t="s">
        <v>74</v>
      </c>
      <c r="B62" s="22" t="n">
        <f aca="false">E61</f>
        <v>4556.8725</v>
      </c>
      <c r="C62" s="22" t="n">
        <f aca="false">D47</f>
        <v>1518.9575</v>
      </c>
      <c r="D62" s="22" t="n">
        <v>0</v>
      </c>
      <c r="E62" s="22" t="n">
        <f aca="false">B62+C62-D62</f>
        <v>6075.83</v>
      </c>
    </row>
    <row r="63" customFormat="false" ht="15" hidden="false" customHeight="true" outlineLevel="0" collapsed="false">
      <c r="A63" s="10" t="s">
        <v>75</v>
      </c>
      <c r="B63" s="22" t="n">
        <f aca="false">E62</f>
        <v>6075.83</v>
      </c>
      <c r="C63" s="22" t="n">
        <f aca="false">D47</f>
        <v>1518.9575</v>
      </c>
      <c r="D63" s="22" t="n">
        <v>0</v>
      </c>
      <c r="E63" s="22" t="n">
        <f aca="false">B63+C63-D63</f>
        <v>7594.7875</v>
      </c>
    </row>
    <row r="64" customFormat="false" ht="15" hidden="false" customHeight="true" outlineLevel="0" collapsed="false">
      <c r="A64" s="10" t="s">
        <v>76</v>
      </c>
      <c r="B64" s="22" t="n">
        <f aca="false">E63</f>
        <v>7594.7875</v>
      </c>
      <c r="C64" s="22" t="n">
        <f aca="false">D47</f>
        <v>1518.9575</v>
      </c>
      <c r="D64" s="22" t="n">
        <v>0</v>
      </c>
      <c r="E64" s="22" t="n">
        <f aca="false">B64+C64-D64</f>
        <v>9113.745</v>
      </c>
    </row>
    <row r="65" customFormat="false" ht="15" hidden="false" customHeight="true" outlineLevel="0" collapsed="false">
      <c r="A65" s="23" t="s">
        <v>77</v>
      </c>
      <c r="B65" s="24" t="n">
        <f aca="false">E64</f>
        <v>9113.745</v>
      </c>
      <c r="C65" s="24" t="n">
        <f aca="false">D47</f>
        <v>1518.9575</v>
      </c>
      <c r="D65" s="24" t="n">
        <f aca="false">D45/2</f>
        <v>6006.49</v>
      </c>
      <c r="E65" s="24" t="n">
        <f aca="false">B65+C65-D65</f>
        <v>4626.21250000001</v>
      </c>
    </row>
    <row r="67" customFormat="false" ht="18" hidden="false" customHeight="true" outlineLevel="0" collapsed="false">
      <c r="A67" s="6" t="s">
        <v>78</v>
      </c>
      <c r="B67" s="6"/>
      <c r="C67" s="6"/>
      <c r="D67" s="6"/>
      <c r="E67" s="6"/>
    </row>
    <row r="68" customFormat="false" ht="15" hidden="false" customHeight="true" outlineLevel="0" collapsed="false">
      <c r="A68" s="10" t="s">
        <v>79</v>
      </c>
      <c r="B68" s="25" t="n">
        <v>2</v>
      </c>
      <c r="C68" s="25" t="n">
        <v>2</v>
      </c>
      <c r="D68" s="25" t="n">
        <v>2</v>
      </c>
      <c r="E68" s="9" t="s">
        <v>80</v>
      </c>
    </row>
    <row r="69" customFormat="false" ht="15" hidden="false" customHeight="true" outlineLevel="0" collapsed="false">
      <c r="A69" s="10" t="s">
        <v>81</v>
      </c>
      <c r="B69" s="18" t="n">
        <f aca="false">B68*B47</f>
        <v>3037.915</v>
      </c>
      <c r="C69" s="18" t="n">
        <f aca="false">B68*C47</f>
        <v>3037.915</v>
      </c>
      <c r="D69" s="18" t="n">
        <f aca="false">B68*D47</f>
        <v>3037.915</v>
      </c>
      <c r="E69" s="9" t="s">
        <v>82</v>
      </c>
    </row>
    <row r="71" customFormat="false" ht="15" hidden="false" customHeight="true" outlineLevel="0" collapsed="false">
      <c r="A71" s="20" t="s">
        <v>83</v>
      </c>
      <c r="B71" s="20"/>
      <c r="C71" s="20"/>
      <c r="D71" s="20"/>
      <c r="E71" s="20"/>
    </row>
    <row r="73" customFormat="false" ht="13.5" hidden="false" customHeight="true" outlineLevel="0" collapsed="false">
      <c r="A73" s="26" t="s">
        <v>66</v>
      </c>
      <c r="B73" s="27" t="n">
        <f aca="false">D47*1-(0)</f>
        <v>1518.9575</v>
      </c>
    </row>
    <row r="74" customFormat="false" ht="13.5" hidden="false" customHeight="true" outlineLevel="0" collapsed="false">
      <c r="A74" s="26" t="s">
        <v>67</v>
      </c>
      <c r="B74" s="27" t="n">
        <f aca="false">D47*2-(0)</f>
        <v>3037.915</v>
      </c>
    </row>
    <row r="75" customFormat="false" ht="13.5" hidden="false" customHeight="true" outlineLevel="0" collapsed="false">
      <c r="A75" s="26" t="s">
        <v>68</v>
      </c>
      <c r="B75" s="27" t="n">
        <f aca="false">D47*3-(0)</f>
        <v>4556.8725</v>
      </c>
    </row>
    <row r="76" customFormat="false" ht="13.5" hidden="false" customHeight="true" outlineLevel="0" collapsed="false">
      <c r="A76" s="26" t="s">
        <v>69</v>
      </c>
      <c r="B76" s="27" t="n">
        <f aca="false">D47*4-(0)</f>
        <v>6075.83</v>
      </c>
    </row>
    <row r="77" customFormat="false" ht="13.5" hidden="false" customHeight="true" outlineLevel="0" collapsed="false">
      <c r="A77" s="26" t="s">
        <v>70</v>
      </c>
      <c r="B77" s="27" t="n">
        <f aca="false">D47*5-(D43)</f>
        <v>1380.2775</v>
      </c>
    </row>
    <row r="78" customFormat="false" ht="13.5" hidden="false" customHeight="true" outlineLevel="0" collapsed="false">
      <c r="A78" s="26" t="s">
        <v>71</v>
      </c>
      <c r="B78" s="27" t="n">
        <f aca="false">D47*6-(D43)</f>
        <v>2899.235</v>
      </c>
    </row>
    <row r="79" customFormat="false" ht="13.5" hidden="false" customHeight="true" outlineLevel="0" collapsed="false">
      <c r="A79" s="26" t="s">
        <v>72</v>
      </c>
      <c r="B79" s="27" t="n">
        <f aca="false">D47*7-(D43+D45/2)</f>
        <v>-1588.2975</v>
      </c>
    </row>
    <row r="80" customFormat="false" ht="13.5" hidden="false" customHeight="true" outlineLevel="0" collapsed="false">
      <c r="A80" s="26" t="s">
        <v>73</v>
      </c>
      <c r="B80" s="27" t="n">
        <f aca="false">D47*8-(D43+D45/2)</f>
        <v>-69.3400000000002</v>
      </c>
    </row>
    <row r="81" customFormat="false" ht="13.5" hidden="false" customHeight="true" outlineLevel="0" collapsed="false">
      <c r="A81" s="26" t="s">
        <v>74</v>
      </c>
      <c r="B81" s="27" t="n">
        <f aca="false">D47*9-(D43+D45/2)</f>
        <v>1449.6175</v>
      </c>
    </row>
    <row r="82" customFormat="false" ht="13.5" hidden="false" customHeight="true" outlineLevel="0" collapsed="false">
      <c r="A82" s="26" t="s">
        <v>75</v>
      </c>
      <c r="B82" s="27" t="n">
        <f aca="false">D47*10-(D43+D45/2)</f>
        <v>2968.575</v>
      </c>
    </row>
    <row r="83" customFormat="false" ht="13.5" hidden="false" customHeight="true" outlineLevel="0" collapsed="false">
      <c r="A83" s="26" t="s">
        <v>76</v>
      </c>
      <c r="B83" s="27" t="n">
        <f aca="false">D47*11-(D43+D45/2)</f>
        <v>4487.5325</v>
      </c>
    </row>
    <row r="84" customFormat="false" ht="13.5" hidden="false" customHeight="true" outlineLevel="0" collapsed="false">
      <c r="A84" s="26" t="s">
        <v>77</v>
      </c>
      <c r="B84" s="27" t="n">
        <f aca="false">D47*12-(D43+D45/2+D45/2)</f>
        <v>0</v>
      </c>
    </row>
    <row r="85" customFormat="false" ht="15" hidden="false" customHeight="true" outlineLevel="0" collapsed="false">
      <c r="A85" s="10" t="s">
        <v>84</v>
      </c>
      <c r="B85" s="18" t="n">
        <f aca="false">MIN(B73:B84)</f>
        <v>-1588.2975</v>
      </c>
      <c r="C85" s="18" t="n">
        <f aca="false">MIN(B73:B84)</f>
        <v>-1588.2975</v>
      </c>
      <c r="D85" s="18" t="n">
        <f aca="false">MIN(B73:B84)</f>
        <v>-1588.2975</v>
      </c>
      <c r="E85" s="9" t="s">
        <v>85</v>
      </c>
    </row>
    <row r="86" customFormat="false" ht="15" hidden="false" customHeight="true" outlineLevel="0" collapsed="false">
      <c r="A86" s="13" t="s">
        <v>86</v>
      </c>
      <c r="B86" s="14" t="n">
        <f aca="false">MAX(0,D69-B85)</f>
        <v>4626.2125</v>
      </c>
      <c r="C86" s="14" t="n">
        <f aca="false">MAX(0,D69-C85)</f>
        <v>4626.2125</v>
      </c>
      <c r="D86" s="14" t="n">
        <f aca="false">MAX(0,D69-D85)</f>
        <v>4626.2125</v>
      </c>
      <c r="E86" s="15" t="s">
        <v>87</v>
      </c>
    </row>
    <row r="87" customFormat="false" ht="15" hidden="false" customHeight="true" outlineLevel="0" collapsed="false">
      <c r="A87" s="10" t="s">
        <v>88</v>
      </c>
      <c r="B87" s="18" t="n">
        <f aca="false">D47*6</f>
        <v>9113.745</v>
      </c>
      <c r="C87" s="18" t="n">
        <f aca="false">C47*6</f>
        <v>9113.745</v>
      </c>
      <c r="D87" s="18" t="n">
        <f aca="false">D47*6</f>
        <v>9113.745</v>
      </c>
      <c r="E87" s="9" t="s">
        <v>89</v>
      </c>
    </row>
    <row r="88" customFormat="false" ht="15" hidden="false" customHeight="true" outlineLevel="0" collapsed="false">
      <c r="A88" s="28" t="s">
        <v>90</v>
      </c>
      <c r="B88" s="29" t="n">
        <f aca="false">-(B87-B86)</f>
        <v>-4487.5325</v>
      </c>
      <c r="C88" s="29" t="n">
        <f aca="false">-(C87-C86)</f>
        <v>-4487.5325</v>
      </c>
      <c r="D88" s="29" t="n">
        <f aca="false">-(D87-D86)</f>
        <v>-4487.5325</v>
      </c>
      <c r="E88" s="30" t="s">
        <v>91</v>
      </c>
    </row>
    <row r="90" customFormat="false" ht="18" hidden="false" customHeight="true" outlineLevel="0" collapsed="false">
      <c r="A90" s="6" t="s">
        <v>92</v>
      </c>
      <c r="B90" s="6"/>
      <c r="C90" s="6"/>
      <c r="D90" s="6"/>
      <c r="E90" s="6"/>
    </row>
    <row r="91" customFormat="false" ht="15" hidden="false" customHeight="true" outlineLevel="0" collapsed="false">
      <c r="A91" s="10" t="s">
        <v>93</v>
      </c>
      <c r="B91" s="12" t="n">
        <v>6</v>
      </c>
      <c r="C91" s="12" t="n">
        <v>6</v>
      </c>
      <c r="D91" s="12" t="n">
        <v>6</v>
      </c>
      <c r="E91" s="9" t="s">
        <v>94</v>
      </c>
    </row>
    <row r="92" customFormat="false" ht="15" hidden="false" customHeight="true" outlineLevel="0" collapsed="false">
      <c r="A92" s="10" t="s">
        <v>95</v>
      </c>
      <c r="B92" s="18" t="n">
        <f aca="false">B8*B9/365</f>
        <v>83.9041095890411</v>
      </c>
      <c r="C92" s="18" t="n">
        <f aca="false">C8*C9/365</f>
        <v>92.2945205479452</v>
      </c>
      <c r="D92" s="18" t="n">
        <f aca="false">D8*D9/365</f>
        <v>100.684931506849</v>
      </c>
      <c r="E92" s="9" t="s">
        <v>96</v>
      </c>
    </row>
    <row r="93" customFormat="false" ht="15" hidden="false" customHeight="true" outlineLevel="0" collapsed="false">
      <c r="A93" s="13" t="s">
        <v>97</v>
      </c>
      <c r="B93" s="14" t="n">
        <f aca="false">B92*B91</f>
        <v>503.424657534247</v>
      </c>
      <c r="C93" s="14" t="n">
        <f aca="false">C92*C91</f>
        <v>553.767123287671</v>
      </c>
      <c r="D93" s="14" t="n">
        <f aca="false">D92*D91</f>
        <v>604.109589041096</v>
      </c>
      <c r="E93" s="15" t="s">
        <v>98</v>
      </c>
    </row>
    <row r="95" customFormat="false" ht="18" hidden="false" customHeight="true" outlineLevel="0" collapsed="false">
      <c r="A95" s="6" t="s">
        <v>99</v>
      </c>
      <c r="B95" s="6"/>
      <c r="C95" s="6"/>
      <c r="D95" s="6"/>
      <c r="E95" s="6"/>
    </row>
    <row r="96" customFormat="false" ht="15" hidden="false" customHeight="true" outlineLevel="0" collapsed="false">
      <c r="A96" s="10" t="s">
        <v>100</v>
      </c>
      <c r="B96" s="12" t="n">
        <v>182</v>
      </c>
      <c r="C96" s="12" t="n">
        <v>182</v>
      </c>
      <c r="D96" s="12" t="n">
        <v>182</v>
      </c>
      <c r="E96" s="9" t="s">
        <v>101</v>
      </c>
    </row>
    <row r="97" customFormat="false" ht="15" hidden="false" customHeight="true" outlineLevel="0" collapsed="false">
      <c r="A97" s="13" t="s">
        <v>102</v>
      </c>
      <c r="B97" s="14" t="n">
        <f aca="false">(B43/365)*B96</f>
        <v>3098.74197260274</v>
      </c>
      <c r="C97" s="14" t="n">
        <f aca="false">(C43/365)*C96</f>
        <v>3098.74197260274</v>
      </c>
      <c r="D97" s="14" t="n">
        <f aca="false">(D43/365)*D96</f>
        <v>3098.74197260274</v>
      </c>
      <c r="E97" s="15" t="s">
        <v>103</v>
      </c>
    </row>
    <row r="99" customFormat="false" ht="18" hidden="false" customHeight="true" outlineLevel="0" collapsed="false">
      <c r="A99" s="6" t="s">
        <v>104</v>
      </c>
      <c r="B99" s="6"/>
      <c r="C99" s="6"/>
      <c r="D99" s="6"/>
      <c r="E99" s="6"/>
    </row>
    <row r="100" customFormat="false" ht="15" hidden="false" customHeight="true" outlineLevel="0" collapsed="false">
      <c r="A100" s="10" t="s">
        <v>105</v>
      </c>
      <c r="B100" s="18" t="n">
        <f aca="false">B11</f>
        <v>3038.05269790345</v>
      </c>
      <c r="C100" s="18" t="n">
        <f aca="false">C11</f>
        <v>3341.8579676938</v>
      </c>
      <c r="D100" s="18" t="n">
        <f aca="false">D11</f>
        <v>3645.66323748415</v>
      </c>
      <c r="E100" s="9"/>
    </row>
    <row r="101" customFormat="false" ht="15" hidden="false" customHeight="true" outlineLevel="0" collapsed="false">
      <c r="A101" s="10" t="s">
        <v>106</v>
      </c>
      <c r="B101" s="18" t="n">
        <f aca="false">B44</f>
        <v>517.875833333333</v>
      </c>
      <c r="C101" s="18" t="n">
        <f aca="false">C44</f>
        <v>517.875833333333</v>
      </c>
      <c r="D101" s="18" t="n">
        <f aca="false">D44</f>
        <v>517.875833333333</v>
      </c>
      <c r="E101" s="9" t="s">
        <v>107</v>
      </c>
    </row>
    <row r="102" customFormat="false" ht="15" hidden="false" customHeight="true" outlineLevel="0" collapsed="false">
      <c r="A102" s="10" t="s">
        <v>108</v>
      </c>
      <c r="B102" s="18" t="n">
        <f aca="false">B46</f>
        <v>1001.08166666667</v>
      </c>
      <c r="C102" s="18" t="n">
        <f aca="false">C46</f>
        <v>1001.08166666667</v>
      </c>
      <c r="D102" s="18" t="n">
        <f aca="false">D46</f>
        <v>1001.08166666667</v>
      </c>
      <c r="E102" s="9" t="s">
        <v>109</v>
      </c>
    </row>
    <row r="103" customFormat="false" ht="15" hidden="false" customHeight="true" outlineLevel="0" collapsed="false">
      <c r="A103" s="13" t="s">
        <v>110</v>
      </c>
      <c r="B103" s="14" t="n">
        <f aca="false">B100+B101+B102</f>
        <v>4557.01019790345</v>
      </c>
      <c r="C103" s="14" t="n">
        <f aca="false">C100+C101+C102</f>
        <v>4860.8154676938</v>
      </c>
      <c r="D103" s="14" t="n">
        <f aca="false">D100+D101+D102</f>
        <v>5164.62073748415</v>
      </c>
      <c r="E103" s="15"/>
    </row>
    <row r="105" customFormat="false" ht="18" hidden="false" customHeight="true" outlineLevel="0" collapsed="false">
      <c r="A105" s="6" t="s">
        <v>111</v>
      </c>
      <c r="B105" s="6"/>
      <c r="C105" s="6"/>
      <c r="D105" s="6"/>
      <c r="E105" s="6"/>
    </row>
    <row r="106" customFormat="false" ht="15" hidden="false" customHeight="true" outlineLevel="0" collapsed="false">
      <c r="A106" s="31" t="s">
        <v>112</v>
      </c>
      <c r="B106" s="31"/>
      <c r="C106" s="31"/>
      <c r="D106" s="31"/>
      <c r="E106" s="31"/>
    </row>
    <row r="107" customFormat="false" ht="15" hidden="false" customHeight="true" outlineLevel="0" collapsed="false">
      <c r="A107" s="32"/>
      <c r="B107" s="32"/>
      <c r="C107" s="32"/>
      <c r="D107" s="32"/>
      <c r="E107" s="32"/>
    </row>
    <row r="108" customFormat="false" ht="18" hidden="false" customHeight="true" outlineLevel="0" collapsed="false">
      <c r="A108" s="6" t="s">
        <v>113</v>
      </c>
      <c r="B108" s="6"/>
      <c r="C108" s="6"/>
      <c r="D108" s="6"/>
      <c r="E108" s="6"/>
    </row>
    <row r="109" customFormat="false" ht="15" hidden="false" customHeight="true" outlineLevel="0" collapsed="false">
      <c r="A109" s="10" t="s">
        <v>114</v>
      </c>
      <c r="B109" s="16" t="n">
        <v>466</v>
      </c>
      <c r="C109" s="16" t="n">
        <v>466</v>
      </c>
      <c r="D109" s="16" t="n">
        <v>466</v>
      </c>
      <c r="E109" s="9" t="s">
        <v>115</v>
      </c>
    </row>
    <row r="110" customFormat="false" ht="15" hidden="false" customHeight="true" outlineLevel="0" collapsed="false">
      <c r="A110" s="10" t="s">
        <v>116</v>
      </c>
      <c r="B110" s="16" t="n">
        <v>828</v>
      </c>
      <c r="C110" s="16" t="n">
        <v>828</v>
      </c>
      <c r="D110" s="16" t="n">
        <v>828</v>
      </c>
      <c r="E110" s="9" t="s">
        <v>117</v>
      </c>
    </row>
    <row r="111" customFormat="false" ht="15" hidden="false" customHeight="true" outlineLevel="0" collapsed="false">
      <c r="A111" s="13" t="s">
        <v>118</v>
      </c>
      <c r="B111" s="14" t="n">
        <f aca="false">B109+B110</f>
        <v>1294</v>
      </c>
      <c r="C111" s="14" t="n">
        <f aca="false">C109+C110</f>
        <v>1294</v>
      </c>
      <c r="D111" s="14" t="n">
        <f aca="false">D109+D110</f>
        <v>1294</v>
      </c>
      <c r="E111" s="15" t="s">
        <v>119</v>
      </c>
    </row>
    <row r="112" customFormat="false" ht="15" hidden="false" customHeight="true" outlineLevel="0" collapsed="false">
      <c r="A112" s="32"/>
      <c r="B112" s="32"/>
      <c r="C112" s="32"/>
      <c r="D112" s="32"/>
      <c r="E112" s="32"/>
    </row>
    <row r="113" customFormat="false" ht="18" hidden="false" customHeight="true" outlineLevel="0" collapsed="false">
      <c r="A113" s="6" t="s">
        <v>120</v>
      </c>
      <c r="B113" s="6"/>
      <c r="C113" s="6"/>
      <c r="D113" s="6"/>
      <c r="E113" s="6"/>
    </row>
    <row r="114" customFormat="false" ht="15" hidden="false" customHeight="true" outlineLevel="0" collapsed="false">
      <c r="A114" s="33" t="s">
        <v>121</v>
      </c>
      <c r="B114" s="34" t="n">
        <v>577</v>
      </c>
      <c r="C114" s="34" t="n">
        <v>577</v>
      </c>
      <c r="D114" s="34" t="n">
        <v>577</v>
      </c>
      <c r="E114" s="35" t="s">
        <v>122</v>
      </c>
    </row>
    <row r="115" customFormat="false" ht="15" hidden="false" customHeight="true" outlineLevel="0" collapsed="false">
      <c r="A115" s="10" t="s">
        <v>123</v>
      </c>
      <c r="B115" s="16" t="n">
        <v>153</v>
      </c>
      <c r="C115" s="16" t="n">
        <v>153</v>
      </c>
      <c r="D115" s="16" t="n">
        <v>153</v>
      </c>
      <c r="E115" s="9" t="s">
        <v>124</v>
      </c>
    </row>
    <row r="116" customFormat="false" ht="15" hidden="false" customHeight="true" outlineLevel="0" collapsed="false">
      <c r="A116" s="10" t="s">
        <v>125</v>
      </c>
      <c r="B116" s="16" t="n">
        <v>51</v>
      </c>
      <c r="C116" s="16" t="n">
        <v>51</v>
      </c>
      <c r="D116" s="16" t="n">
        <v>51</v>
      </c>
      <c r="E116" s="9" t="s">
        <v>126</v>
      </c>
    </row>
    <row r="117" customFormat="false" ht="15" hidden="false" customHeight="true" outlineLevel="0" collapsed="false">
      <c r="A117" s="10" t="s">
        <v>127</v>
      </c>
      <c r="B117" s="16" t="n">
        <v>147</v>
      </c>
      <c r="C117" s="16" t="n">
        <v>147</v>
      </c>
      <c r="D117" s="16" t="n">
        <v>147</v>
      </c>
      <c r="E117" s="9" t="s">
        <v>128</v>
      </c>
    </row>
    <row r="118" customFormat="false" ht="15" hidden="false" customHeight="true" outlineLevel="0" collapsed="false">
      <c r="A118" s="33" t="s">
        <v>129</v>
      </c>
      <c r="B118" s="34" t="n">
        <v>563</v>
      </c>
      <c r="C118" s="34" t="n">
        <v>563</v>
      </c>
      <c r="D118" s="34" t="n">
        <v>563</v>
      </c>
      <c r="E118" s="35" t="s">
        <v>130</v>
      </c>
    </row>
    <row r="119" customFormat="false" ht="15" hidden="false" customHeight="true" outlineLevel="0" collapsed="false">
      <c r="A119" s="13" t="s">
        <v>131</v>
      </c>
      <c r="B119" s="14" t="n">
        <f aca="false">B114+B115+B116+B117+B118</f>
        <v>1491</v>
      </c>
      <c r="C119" s="14" t="n">
        <f aca="false">C114+C115+C116+C117+C118</f>
        <v>1491</v>
      </c>
      <c r="D119" s="14" t="n">
        <f aca="false">D114+D115+D116+D117+D118</f>
        <v>1491</v>
      </c>
      <c r="E119" s="15" t="s">
        <v>132</v>
      </c>
    </row>
    <row r="120" customFormat="false" ht="15" hidden="false" customHeight="true" outlineLevel="0" collapsed="false">
      <c r="A120" s="13" t="s">
        <v>133</v>
      </c>
      <c r="B120" s="14" t="n">
        <f aca="false">B111+B119</f>
        <v>2785</v>
      </c>
      <c r="C120" s="14" t="n">
        <f aca="false">C111+C119</f>
        <v>2785</v>
      </c>
      <c r="D120" s="14" t="n">
        <f aca="false">D111+D119</f>
        <v>2785</v>
      </c>
      <c r="E120" s="15" t="s">
        <v>134</v>
      </c>
    </row>
    <row r="121" customFormat="false" ht="15" hidden="false" customHeight="true" outlineLevel="0" collapsed="false">
      <c r="A121" s="32"/>
      <c r="B121" s="32"/>
      <c r="C121" s="32"/>
      <c r="D121" s="32"/>
      <c r="E121" s="32"/>
    </row>
    <row r="122" customFormat="false" ht="18" hidden="false" customHeight="true" outlineLevel="0" collapsed="false">
      <c r="A122" s="6" t="s">
        <v>135</v>
      </c>
      <c r="B122" s="6"/>
      <c r="C122" s="6"/>
      <c r="D122" s="6"/>
      <c r="E122" s="6"/>
    </row>
    <row r="123" customFormat="false" ht="15" hidden="false" customHeight="true" outlineLevel="0" collapsed="false">
      <c r="A123" s="36" t="s">
        <v>136</v>
      </c>
      <c r="B123" s="36"/>
      <c r="C123" s="36"/>
      <c r="D123" s="36"/>
      <c r="E123" s="36"/>
    </row>
    <row r="124" customFormat="false" ht="15" hidden="false" customHeight="true" outlineLevel="0" collapsed="false">
      <c r="A124" s="7" t="s">
        <v>137</v>
      </c>
      <c r="B124" s="16" t="n">
        <v>15838.54</v>
      </c>
      <c r="C124" s="16" t="n">
        <v>15838.54</v>
      </c>
      <c r="D124" s="16" t="n">
        <v>15838.54</v>
      </c>
      <c r="E124" s="9" t="s">
        <v>138</v>
      </c>
    </row>
    <row r="125" customFormat="false" ht="15" hidden="false" customHeight="true" outlineLevel="0" collapsed="false">
      <c r="A125" s="10" t="s">
        <v>139</v>
      </c>
      <c r="B125" s="18" t="n">
        <f aca="false">B103</f>
        <v>4557.01019790345</v>
      </c>
      <c r="C125" s="18" t="n">
        <f aca="false">C103</f>
        <v>4860.8154676938</v>
      </c>
      <c r="D125" s="18" t="n">
        <f aca="false">D103</f>
        <v>5164.62073748415</v>
      </c>
      <c r="E125" s="9" t="s">
        <v>140</v>
      </c>
    </row>
    <row r="126" customFormat="false" ht="15" hidden="false" customHeight="true" outlineLevel="0" collapsed="false">
      <c r="A126" s="10" t="s">
        <v>141</v>
      </c>
      <c r="B126" s="18" t="n">
        <f aca="false">B120</f>
        <v>2785</v>
      </c>
      <c r="C126" s="18" t="n">
        <f aca="false">C120</f>
        <v>2785</v>
      </c>
      <c r="D126" s="18" t="n">
        <f aca="false">D120</f>
        <v>2785</v>
      </c>
      <c r="E126" s="9" t="s">
        <v>142</v>
      </c>
    </row>
    <row r="127" customFormat="false" ht="15" hidden="false" customHeight="true" outlineLevel="0" collapsed="false">
      <c r="A127" s="10" t="s">
        <v>143</v>
      </c>
      <c r="B127" s="18" t="n">
        <f aca="false">B125+B126</f>
        <v>7342.01019790345</v>
      </c>
      <c r="C127" s="18" t="n">
        <f aca="false">C125+C126</f>
        <v>7645.8154676938</v>
      </c>
      <c r="D127" s="18" t="n">
        <f aca="false">D125+D126</f>
        <v>7949.62073748415</v>
      </c>
      <c r="E127" s="9"/>
    </row>
    <row r="128" customFormat="false" ht="15" hidden="false" customHeight="true" outlineLevel="0" collapsed="false">
      <c r="A128" s="37" t="s">
        <v>144</v>
      </c>
      <c r="B128" s="38" t="n">
        <f aca="false">B127/B124</f>
        <v>0.463553471336591</v>
      </c>
      <c r="C128" s="38" t="n">
        <f aca="false">C127/C124</f>
        <v>0.482734864936655</v>
      </c>
      <c r="D128" s="38" t="n">
        <f aca="false">D127/D124</f>
        <v>0.501916258536718</v>
      </c>
      <c r="E128" s="39" t="s">
        <v>145</v>
      </c>
    </row>
    <row r="129" customFormat="false" ht="15" hidden="false" customHeight="true" outlineLevel="0" collapsed="false">
      <c r="A129" s="10" t="s">
        <v>146</v>
      </c>
      <c r="B129" s="40" t="n">
        <f aca="false">B125/B124</f>
        <v>0.287716557075555</v>
      </c>
      <c r="C129" s="40" t="n">
        <f aca="false">C125/C124</f>
        <v>0.306897950675618</v>
      </c>
      <c r="D129" s="40" t="n">
        <f aca="false">D125/D124</f>
        <v>0.326079344275681</v>
      </c>
      <c r="E129" s="9"/>
    </row>
    <row r="130" customFormat="false" ht="15" hidden="false" customHeight="true" outlineLevel="0" collapsed="false">
      <c r="A130" s="32"/>
      <c r="B130" s="32"/>
      <c r="C130" s="32"/>
      <c r="D130" s="32"/>
      <c r="E130" s="32"/>
    </row>
    <row r="131" customFormat="false" ht="18" hidden="false" customHeight="true" outlineLevel="0" collapsed="false">
      <c r="A131" s="6" t="s">
        <v>147</v>
      </c>
      <c r="B131" s="6"/>
      <c r="C131" s="6"/>
      <c r="D131" s="6"/>
      <c r="E131" s="6"/>
    </row>
    <row r="132" customFormat="false" ht="18" hidden="false" customHeight="true" outlineLevel="0" collapsed="false">
      <c r="A132" s="41" t="s">
        <v>148</v>
      </c>
      <c r="B132" s="41"/>
      <c r="C132" s="41"/>
      <c r="D132" s="41"/>
      <c r="E132" s="41"/>
    </row>
    <row r="133" customFormat="false" ht="15" hidden="false" customHeight="true" outlineLevel="0" collapsed="false">
      <c r="A133" s="7" t="s">
        <v>137</v>
      </c>
      <c r="B133" s="16" t="n">
        <v>15838.54</v>
      </c>
      <c r="C133" s="16" t="n">
        <v>15838.54</v>
      </c>
      <c r="D133" s="16" t="n">
        <v>15838.54</v>
      </c>
      <c r="E133" s="9" t="s">
        <v>138</v>
      </c>
    </row>
    <row r="134" customFormat="false" ht="15" hidden="false" customHeight="true" outlineLevel="0" collapsed="false">
      <c r="A134" s="10" t="s">
        <v>149</v>
      </c>
      <c r="B134" s="18" t="n">
        <v>22054</v>
      </c>
      <c r="C134" s="18" t="n">
        <v>22054</v>
      </c>
      <c r="D134" s="18" t="n">
        <v>22054</v>
      </c>
      <c r="E134" s="9" t="s">
        <v>150</v>
      </c>
    </row>
    <row r="135" customFormat="false" ht="15" hidden="false" customHeight="true" outlineLevel="0" collapsed="false">
      <c r="A135" s="10" t="s">
        <v>151</v>
      </c>
      <c r="B135" s="18" t="n">
        <v>19104</v>
      </c>
      <c r="C135" s="18" t="n">
        <v>19104</v>
      </c>
      <c r="D135" s="18" t="n">
        <v>19104</v>
      </c>
      <c r="E135" s="9" t="s">
        <v>150</v>
      </c>
    </row>
    <row r="136" customFormat="false" ht="15" hidden="false" customHeight="true" outlineLevel="0" collapsed="false">
      <c r="A136" s="13" t="s">
        <v>152</v>
      </c>
      <c r="B136" s="14" t="n">
        <f aca="false">B134+B135</f>
        <v>41158</v>
      </c>
      <c r="C136" s="14" t="n">
        <f aca="false">C134+C135</f>
        <v>41158</v>
      </c>
      <c r="D136" s="14" t="n">
        <f aca="false">D134+D135</f>
        <v>41158</v>
      </c>
      <c r="E136" s="15" t="s">
        <v>153</v>
      </c>
    </row>
    <row r="137" customFormat="false" ht="15" hidden="false" customHeight="true" outlineLevel="0" collapsed="false">
      <c r="A137" s="10" t="s">
        <v>154</v>
      </c>
      <c r="B137" s="18" t="n">
        <f aca="false">B120-B114-B118</f>
        <v>1645</v>
      </c>
      <c r="C137" s="18" t="n">
        <f aca="false">C120-C114-C118</f>
        <v>1645</v>
      </c>
      <c r="D137" s="18" t="n">
        <f aca="false">D120-D114-D118</f>
        <v>1645</v>
      </c>
      <c r="E137" s="9" t="s">
        <v>155</v>
      </c>
    </row>
    <row r="138" customFormat="false" ht="15" hidden="false" customHeight="true" outlineLevel="0" collapsed="false">
      <c r="A138" s="10" t="s">
        <v>139</v>
      </c>
      <c r="B138" s="18" t="n">
        <f aca="false">B103</f>
        <v>4557.01019790345</v>
      </c>
      <c r="C138" s="18" t="n">
        <f aca="false">C103</f>
        <v>4860.8154676938</v>
      </c>
      <c r="D138" s="18" t="n">
        <f aca="false">D103</f>
        <v>5164.62073748415</v>
      </c>
      <c r="E138" s="9"/>
    </row>
    <row r="139" customFormat="false" ht="15" hidden="false" customHeight="true" outlineLevel="0" collapsed="false">
      <c r="A139" s="10" t="s">
        <v>143</v>
      </c>
      <c r="B139" s="18" t="n">
        <f aca="false">B138+B137</f>
        <v>6202.01019790345</v>
      </c>
      <c r="C139" s="18" t="n">
        <f aca="false">C138+C137</f>
        <v>6505.8154676938</v>
      </c>
      <c r="D139" s="18" t="n">
        <f aca="false">D138+D137</f>
        <v>6809.62073748415</v>
      </c>
      <c r="E139" s="9"/>
    </row>
    <row r="140" customFormat="false" ht="15" hidden="false" customHeight="true" outlineLevel="0" collapsed="false">
      <c r="A140" s="28" t="s">
        <v>144</v>
      </c>
      <c r="B140" s="42" t="n">
        <f aca="false">B139/B133</f>
        <v>0.391577140184856</v>
      </c>
      <c r="C140" s="42" t="n">
        <f aca="false">C139/C133</f>
        <v>0.41075853378492</v>
      </c>
      <c r="D140" s="42" t="n">
        <f aca="false">D139/D133</f>
        <v>0.429939927384983</v>
      </c>
      <c r="E140" s="30" t="s">
        <v>156</v>
      </c>
    </row>
    <row r="141" customFormat="false" ht="15" hidden="false" customHeight="true" outlineLevel="0" collapsed="false">
      <c r="A141" s="10" t="s">
        <v>146</v>
      </c>
      <c r="B141" s="40" t="n">
        <f aca="false">B138/B133</f>
        <v>0.287716557075555</v>
      </c>
      <c r="C141" s="40" t="n">
        <f aca="false">C138/C133</f>
        <v>0.306897950675618</v>
      </c>
      <c r="D141" s="40" t="n">
        <f aca="false">D138/D133</f>
        <v>0.326079344275681</v>
      </c>
      <c r="E141" s="9"/>
    </row>
    <row r="142" customFormat="false" ht="15" hidden="false" customHeight="true" outlineLevel="0" collapsed="false">
      <c r="A142" s="32"/>
      <c r="B142" s="32"/>
      <c r="C142" s="32"/>
      <c r="D142" s="32"/>
      <c r="E142" s="32"/>
    </row>
    <row r="143" customFormat="false" ht="18" hidden="false" customHeight="true" outlineLevel="0" collapsed="false">
      <c r="A143" s="6" t="s">
        <v>157</v>
      </c>
      <c r="B143" s="6"/>
      <c r="C143" s="6"/>
      <c r="D143" s="6"/>
      <c r="E143" s="6"/>
    </row>
    <row r="144" customFormat="false" ht="15.75" hidden="false" customHeight="true" outlineLevel="0" collapsed="false">
      <c r="A144" s="43" t="s">
        <v>158</v>
      </c>
      <c r="B144" s="44" t="n">
        <f aca="false">B8-B40-B93-B97-B86-B88</f>
        <v>493541.253369863</v>
      </c>
      <c r="C144" s="44" t="n">
        <f aca="false">C8-C40-C93-C97-C86-C88</f>
        <v>543490.91090411</v>
      </c>
      <c r="D144" s="44" t="n">
        <f aca="false">D8-D40-D93-D97-D86-D88</f>
        <v>593440.568438356</v>
      </c>
      <c r="E144" s="9" t="s">
        <v>159</v>
      </c>
    </row>
    <row r="145" customFormat="false" ht="15" hidden="false" customHeight="true" outlineLevel="0" collapsed="false">
      <c r="A145" s="28" t="s">
        <v>160</v>
      </c>
      <c r="B145" s="45" t="n">
        <f aca="false">B8-B40-B93-B97-B86-B88-B136</f>
        <v>452383.253369863</v>
      </c>
      <c r="C145" s="45" t="n">
        <f aca="false">C8-C40-C93-C97-C86-C88-C136</f>
        <v>502332.91090411</v>
      </c>
      <c r="D145" s="45" t="n">
        <f aca="false">D8-D40-D93-D97-D86-D88-D136</f>
        <v>552282.568438356</v>
      </c>
      <c r="E145" s="46" t="s">
        <v>161</v>
      </c>
    </row>
    <row r="146" customFormat="false" ht="15" hidden="false" customHeight="true" outlineLevel="0" collapsed="false">
      <c r="A146" s="10" t="s">
        <v>162</v>
      </c>
      <c r="B146" s="18" t="n">
        <f aca="false">B114+B118</f>
        <v>1140</v>
      </c>
      <c r="C146" s="18" t="n">
        <f aca="false">C114+C118</f>
        <v>1140</v>
      </c>
      <c r="D146" s="18" t="n">
        <f aca="false">D114+D118</f>
        <v>1140</v>
      </c>
      <c r="E146" s="9" t="s">
        <v>163</v>
      </c>
    </row>
    <row r="147" customFormat="false" ht="15" hidden="false" customHeight="true" outlineLevel="0" collapsed="false">
      <c r="A147" s="32"/>
      <c r="B147" s="32"/>
      <c r="C147" s="32"/>
      <c r="D147" s="32"/>
      <c r="E147" s="32"/>
    </row>
    <row r="148" customFormat="false" ht="18" hidden="false" customHeight="true" outlineLevel="0" collapsed="false">
      <c r="A148" s="6" t="s">
        <v>164</v>
      </c>
      <c r="B148" s="6"/>
      <c r="C148" s="6"/>
      <c r="D148" s="6"/>
      <c r="E148" s="6"/>
    </row>
    <row r="149" customFormat="false" ht="18" hidden="false" customHeight="true" outlineLevel="0" collapsed="false">
      <c r="A149" s="19" t="s">
        <v>165</v>
      </c>
      <c r="B149" s="19"/>
      <c r="C149" s="19"/>
      <c r="D149" s="19"/>
      <c r="E149" s="19"/>
    </row>
    <row r="150" customFormat="false" ht="15" hidden="false" customHeight="true" outlineLevel="0" collapsed="false">
      <c r="A150" s="10" t="s">
        <v>166</v>
      </c>
      <c r="B150" s="16" t="n">
        <v>15838.54</v>
      </c>
      <c r="C150" s="16" t="n">
        <v>15838.54</v>
      </c>
      <c r="D150" s="16" t="n">
        <v>15838.54</v>
      </c>
      <c r="E150" s="9" t="s">
        <v>167</v>
      </c>
    </row>
    <row r="151" customFormat="false" ht="15" hidden="false" customHeight="true" outlineLevel="0" collapsed="false">
      <c r="A151" s="10" t="s">
        <v>168</v>
      </c>
      <c r="B151" s="16" t="n">
        <v>6251.42</v>
      </c>
      <c r="C151" s="16" t="n">
        <v>6251.42</v>
      </c>
      <c r="D151" s="16" t="n">
        <v>6251.42</v>
      </c>
      <c r="E151" s="9" t="s">
        <v>169</v>
      </c>
    </row>
    <row r="152" customFormat="false" ht="15" hidden="false" customHeight="true" outlineLevel="0" collapsed="false">
      <c r="A152" s="13" t="s">
        <v>170</v>
      </c>
      <c r="B152" s="14" t="n">
        <f aca="false">B150+B151</f>
        <v>22089.96</v>
      </c>
      <c r="C152" s="14" t="n">
        <f aca="false">C150+C151</f>
        <v>22089.96</v>
      </c>
      <c r="D152" s="14" t="n">
        <f aca="false">D150+D151</f>
        <v>22089.96</v>
      </c>
      <c r="E152" s="15" t="s">
        <v>171</v>
      </c>
    </row>
    <row r="153" customFormat="false" ht="15" hidden="false" customHeight="true" outlineLevel="0" collapsed="false">
      <c r="A153" s="13" t="s">
        <v>172</v>
      </c>
      <c r="B153" s="47" t="n">
        <f aca="false">(B103+B120)/B152</f>
        <v>0.332368650640538</v>
      </c>
      <c r="C153" s="47" t="n">
        <f aca="false">(C103+C120)/C152</f>
        <v>0.34612174343882</v>
      </c>
      <c r="D153" s="47" t="n">
        <f aca="false">(D103+D120)/D152</f>
        <v>0.359874836237103</v>
      </c>
      <c r="E153" s="15" t="s">
        <v>173</v>
      </c>
    </row>
    <row r="154" customFormat="false" ht="15" hidden="false" customHeight="true" outlineLevel="0" collapsed="false">
      <c r="A154" s="32"/>
      <c r="B154" s="32"/>
      <c r="C154" s="32"/>
      <c r="D154" s="32"/>
      <c r="E154" s="32"/>
    </row>
    <row r="155" customFormat="false" ht="15" hidden="false" customHeight="true" outlineLevel="0" collapsed="false">
      <c r="A155" s="48" t="s">
        <v>174</v>
      </c>
      <c r="B155" s="48"/>
      <c r="C155" s="48"/>
      <c r="D155" s="48"/>
      <c r="E155" s="48"/>
    </row>
    <row r="156" customFormat="false" ht="15" hidden="false" customHeight="true" outlineLevel="0" collapsed="false">
      <c r="A156" s="48" t="s">
        <v>175</v>
      </c>
      <c r="B156" s="48"/>
      <c r="C156" s="48"/>
      <c r="D156" s="48"/>
      <c r="E156" s="48"/>
    </row>
    <row r="157" customFormat="false" ht="15" hidden="false" customHeight="true" outlineLevel="0" collapsed="false">
      <c r="A157" s="48" t="s">
        <v>176</v>
      </c>
      <c r="B157" s="48"/>
      <c r="C157" s="48"/>
      <c r="D157" s="48"/>
      <c r="E157" s="48"/>
    </row>
    <row r="158" customFormat="false" ht="15" hidden="false" customHeight="true" outlineLevel="0" collapsed="false">
      <c r="A158" s="48" t="s">
        <v>177</v>
      </c>
      <c r="B158" s="48"/>
      <c r="C158" s="48"/>
      <c r="D158" s="48"/>
      <c r="E158" s="48"/>
    </row>
    <row r="159" customFormat="false" ht="15" hidden="false" customHeight="true" outlineLevel="0" collapsed="false">
      <c r="A159" s="48" t="s">
        <v>178</v>
      </c>
      <c r="B159" s="48"/>
      <c r="C159" s="48"/>
      <c r="D159" s="48"/>
      <c r="E159" s="48"/>
    </row>
    <row r="160" customFormat="false" ht="15" hidden="false" customHeight="true" outlineLevel="0" collapsed="false">
      <c r="A160" s="48" t="s">
        <v>179</v>
      </c>
      <c r="B160" s="48"/>
      <c r="C160" s="48"/>
      <c r="D160" s="48"/>
      <c r="E160" s="48"/>
    </row>
    <row r="161" customFormat="false" ht="15" hidden="false" customHeight="true" outlineLevel="0" collapsed="false">
      <c r="A161" s="32"/>
      <c r="B161" s="32"/>
      <c r="C161" s="32"/>
      <c r="D161" s="32"/>
      <c r="E161" s="32"/>
    </row>
    <row r="162" customFormat="false" ht="15" hidden="false" customHeight="true" outlineLevel="0" collapsed="false">
      <c r="A162" s="32"/>
      <c r="B162" s="32"/>
      <c r="C162" s="32"/>
      <c r="D162" s="32"/>
      <c r="E162" s="32"/>
    </row>
    <row r="163" customFormat="false" ht="15" hidden="false" customHeight="true" outlineLevel="0" collapsed="false">
      <c r="A163" s="32"/>
      <c r="B163" s="32"/>
      <c r="C163" s="32"/>
      <c r="D163" s="32"/>
      <c r="E163" s="32"/>
    </row>
    <row r="164" customFormat="false" ht="15" hidden="false" customHeight="true" outlineLevel="0" collapsed="false">
      <c r="A164" s="32"/>
      <c r="B164" s="32"/>
      <c r="C164" s="32"/>
      <c r="D164" s="32"/>
      <c r="E164" s="32"/>
    </row>
    <row r="165" customFormat="false" ht="15" hidden="false" customHeight="true" outlineLevel="0" collapsed="false">
      <c r="A165" s="32"/>
      <c r="B165" s="32"/>
      <c r="C165" s="32"/>
      <c r="D165" s="32"/>
      <c r="E165" s="32"/>
    </row>
    <row r="166" customFormat="false" ht="15" hidden="false" customHeight="true" outlineLevel="0" collapsed="false">
      <c r="A166" s="32"/>
      <c r="B166" s="32"/>
      <c r="C166" s="32"/>
      <c r="D166" s="32"/>
      <c r="E166" s="32"/>
    </row>
    <row r="167" customFormat="false" ht="15" hidden="false" customHeight="true" outlineLevel="0" collapsed="false">
      <c r="A167" s="32"/>
      <c r="B167" s="32"/>
      <c r="C167" s="32"/>
      <c r="D167" s="32"/>
      <c r="E167" s="32"/>
    </row>
    <row r="168" customFormat="false" ht="15" hidden="false" customHeight="true" outlineLevel="0" collapsed="false">
      <c r="A168" s="32"/>
      <c r="B168" s="32"/>
      <c r="C168" s="32"/>
      <c r="D168" s="32"/>
      <c r="E168" s="32"/>
    </row>
    <row r="169" customFormat="false" ht="15" hidden="false" customHeight="true" outlineLevel="0" collapsed="false">
      <c r="A169" s="32"/>
      <c r="B169" s="32"/>
      <c r="C169" s="32"/>
      <c r="D169" s="32"/>
      <c r="E169" s="32"/>
    </row>
    <row r="170" customFormat="false" ht="15" hidden="false" customHeight="true" outlineLevel="0" collapsed="false">
      <c r="A170" s="32"/>
      <c r="B170" s="32"/>
      <c r="C170" s="32"/>
      <c r="D170" s="32"/>
      <c r="E170" s="32"/>
    </row>
    <row r="171" customFormat="false" ht="15" hidden="false" customHeight="true" outlineLevel="0" collapsed="false">
      <c r="A171" s="32"/>
      <c r="B171" s="32"/>
      <c r="C171" s="32"/>
      <c r="D171" s="32"/>
      <c r="E171" s="32"/>
    </row>
    <row r="172" customFormat="false" ht="15" hidden="false" customHeight="true" outlineLevel="0" collapsed="false">
      <c r="A172" s="32"/>
      <c r="B172" s="32"/>
      <c r="C172" s="32"/>
      <c r="D172" s="32"/>
      <c r="E172" s="32"/>
    </row>
    <row r="173" customFormat="false" ht="15" hidden="false" customHeight="true" outlineLevel="0" collapsed="false">
      <c r="A173" s="32"/>
      <c r="B173" s="32"/>
      <c r="C173" s="32"/>
      <c r="D173" s="32"/>
      <c r="E173" s="32"/>
    </row>
    <row r="174" customFormat="false" ht="15" hidden="false" customHeight="true" outlineLevel="0" collapsed="false">
      <c r="A174" s="32"/>
      <c r="B174" s="32"/>
      <c r="C174" s="32"/>
      <c r="D174" s="32"/>
      <c r="E174" s="32"/>
    </row>
    <row r="175" customFormat="false" ht="15" hidden="false" customHeight="true" outlineLevel="0" collapsed="false">
      <c r="A175" s="32"/>
      <c r="B175" s="32"/>
      <c r="C175" s="32"/>
      <c r="D175" s="32"/>
      <c r="E175" s="32"/>
    </row>
    <row r="176" customFormat="false" ht="15" hidden="false" customHeight="true" outlineLevel="0" collapsed="false">
      <c r="A176" s="32"/>
      <c r="B176" s="32"/>
      <c r="C176" s="32"/>
      <c r="D176" s="32"/>
      <c r="E176" s="32"/>
    </row>
    <row r="177" customFormat="false" ht="15" hidden="false" customHeight="true" outlineLevel="0" collapsed="false">
      <c r="A177" s="32"/>
      <c r="B177" s="32"/>
      <c r="C177" s="32"/>
      <c r="D177" s="32"/>
      <c r="E177" s="32"/>
    </row>
    <row r="178" customFormat="false" ht="15" hidden="false" customHeight="true" outlineLevel="0" collapsed="false">
      <c r="A178" s="32"/>
      <c r="B178" s="32"/>
      <c r="C178" s="32"/>
      <c r="D178" s="32"/>
      <c r="E178" s="32"/>
    </row>
    <row r="179" customFormat="false" ht="15" hidden="false" customHeight="true" outlineLevel="0" collapsed="false">
      <c r="A179" s="32"/>
      <c r="B179" s="32"/>
      <c r="C179" s="32"/>
      <c r="D179" s="32"/>
      <c r="E179" s="32"/>
    </row>
    <row r="180" customFormat="false" ht="15" hidden="false" customHeight="true" outlineLevel="0" collapsed="false">
      <c r="A180" s="32"/>
      <c r="B180" s="32"/>
      <c r="C180" s="32"/>
      <c r="D180" s="32"/>
      <c r="E180" s="32"/>
    </row>
    <row r="181" customFormat="false" ht="15" hidden="false" customHeight="true" outlineLevel="0" collapsed="false">
      <c r="A181" s="32"/>
      <c r="B181" s="32"/>
      <c r="C181" s="32"/>
      <c r="D181" s="32"/>
      <c r="E181" s="32"/>
    </row>
    <row r="182" customFormat="false" ht="15" hidden="false" customHeight="true" outlineLevel="0" collapsed="false">
      <c r="A182" s="32"/>
      <c r="B182" s="32"/>
      <c r="C182" s="32"/>
      <c r="D182" s="32"/>
      <c r="E182" s="32"/>
    </row>
    <row r="183" customFormat="false" ht="15" hidden="false" customHeight="true" outlineLevel="0" collapsed="false">
      <c r="A183" s="32"/>
      <c r="B183" s="32"/>
      <c r="C183" s="32"/>
      <c r="D183" s="32"/>
      <c r="E183" s="32"/>
    </row>
    <row r="184" customFormat="false" ht="15" hidden="false" customHeight="true" outlineLevel="0" collapsed="false">
      <c r="A184" s="32"/>
      <c r="B184" s="32"/>
      <c r="C184" s="32"/>
      <c r="D184" s="32"/>
      <c r="E184" s="32"/>
    </row>
    <row r="185" customFormat="false" ht="15" hidden="false" customHeight="true" outlineLevel="0" collapsed="false">
      <c r="A185" s="32"/>
      <c r="B185" s="32"/>
      <c r="C185" s="32"/>
      <c r="D185" s="32"/>
      <c r="E185" s="32"/>
    </row>
    <row r="186" customFormat="false" ht="15" hidden="false" customHeight="true" outlineLevel="0" collapsed="false">
      <c r="A186" s="32"/>
      <c r="B186" s="32"/>
      <c r="C186" s="32"/>
      <c r="D186" s="32"/>
      <c r="E186" s="32"/>
    </row>
    <row r="187" customFormat="false" ht="15" hidden="false" customHeight="true" outlineLevel="0" collapsed="false">
      <c r="A187" s="32"/>
      <c r="B187" s="32"/>
      <c r="C187" s="32"/>
      <c r="D187" s="32"/>
      <c r="E187" s="32"/>
    </row>
    <row r="188" customFormat="false" ht="15" hidden="false" customHeight="true" outlineLevel="0" collapsed="false">
      <c r="A188" s="32"/>
      <c r="B188" s="32"/>
      <c r="C188" s="32"/>
      <c r="D188" s="32"/>
      <c r="E188" s="32"/>
    </row>
    <row r="189" customFormat="false" ht="15" hidden="false" customHeight="true" outlineLevel="0" collapsed="false">
      <c r="A189" s="32"/>
      <c r="B189" s="32"/>
      <c r="C189" s="32"/>
      <c r="D189" s="32"/>
      <c r="E189" s="32"/>
    </row>
    <row r="190" customFormat="false" ht="15" hidden="false" customHeight="true" outlineLevel="0" collapsed="false">
      <c r="A190" s="32"/>
      <c r="B190" s="32"/>
      <c r="C190" s="32"/>
      <c r="D190" s="32"/>
      <c r="E190" s="32"/>
    </row>
    <row r="191" customFormat="false" ht="15" hidden="false" customHeight="true" outlineLevel="0" collapsed="false">
      <c r="A191" s="32"/>
      <c r="B191" s="32"/>
      <c r="C191" s="32"/>
      <c r="D191" s="32"/>
      <c r="E191" s="32"/>
    </row>
    <row r="192" customFormat="false" ht="15" hidden="false" customHeight="true" outlineLevel="0" collapsed="false">
      <c r="A192" s="32"/>
      <c r="B192" s="32"/>
      <c r="C192" s="32"/>
      <c r="D192" s="32"/>
      <c r="E192" s="32"/>
    </row>
    <row r="193" customFormat="false" ht="15" hidden="false" customHeight="true" outlineLevel="0" collapsed="false">
      <c r="A193" s="32"/>
      <c r="B193" s="32"/>
      <c r="C193" s="32"/>
      <c r="D193" s="32"/>
      <c r="E193" s="32"/>
    </row>
    <row r="194" customFormat="false" ht="15" hidden="false" customHeight="true" outlineLevel="0" collapsed="false">
      <c r="A194" s="32"/>
      <c r="B194" s="32"/>
      <c r="C194" s="32"/>
      <c r="D194" s="32"/>
      <c r="E194" s="32"/>
    </row>
    <row r="195" customFormat="false" ht="15" hidden="false" customHeight="true" outlineLevel="0" collapsed="false">
      <c r="A195" s="32"/>
      <c r="B195" s="32"/>
      <c r="C195" s="32"/>
      <c r="D195" s="32"/>
      <c r="E195" s="32"/>
    </row>
    <row r="196" customFormat="false" ht="15" hidden="false" customHeight="true" outlineLevel="0" collapsed="false">
      <c r="A196" s="32"/>
      <c r="B196" s="32"/>
      <c r="C196" s="32"/>
      <c r="D196" s="32"/>
      <c r="E196" s="32"/>
    </row>
    <row r="197" customFormat="false" ht="15" hidden="false" customHeight="true" outlineLevel="0" collapsed="false">
      <c r="A197" s="32"/>
      <c r="B197" s="32"/>
      <c r="C197" s="32"/>
      <c r="D197" s="32"/>
      <c r="E197" s="32"/>
    </row>
    <row r="198" customFormat="false" ht="15" hidden="false" customHeight="true" outlineLevel="0" collapsed="false">
      <c r="A198" s="32"/>
      <c r="B198" s="32"/>
      <c r="C198" s="32"/>
      <c r="D198" s="32"/>
      <c r="E198" s="32"/>
    </row>
    <row r="199" customFormat="false" ht="15" hidden="false" customHeight="true" outlineLevel="0" collapsed="false">
      <c r="A199" s="32"/>
      <c r="B199" s="32"/>
      <c r="C199" s="32"/>
      <c r="D199" s="32"/>
      <c r="E199" s="32"/>
    </row>
    <row r="200" customFormat="false" ht="15" hidden="false" customHeight="true" outlineLevel="0" collapsed="false">
      <c r="A200" s="32"/>
      <c r="B200" s="32"/>
      <c r="C200" s="32"/>
      <c r="D200" s="32"/>
      <c r="E200" s="32"/>
    </row>
    <row r="201" customFormat="false" ht="15" hidden="false" customHeight="true" outlineLevel="0" collapsed="false">
      <c r="A201" s="32"/>
      <c r="B201" s="32"/>
      <c r="C201" s="32"/>
      <c r="D201" s="32"/>
      <c r="E201" s="32"/>
    </row>
    <row r="202" customFormat="false" ht="15" hidden="false" customHeight="true" outlineLevel="0" collapsed="false">
      <c r="A202" s="32"/>
      <c r="B202" s="32"/>
      <c r="C202" s="32"/>
      <c r="D202" s="32"/>
      <c r="E202" s="32"/>
    </row>
    <row r="203" customFormat="false" ht="15" hidden="false" customHeight="true" outlineLevel="0" collapsed="false">
      <c r="A203" s="32"/>
      <c r="B203" s="32"/>
      <c r="C203" s="32"/>
      <c r="D203" s="32"/>
      <c r="E203" s="32"/>
    </row>
    <row r="204" customFormat="false" ht="15" hidden="false" customHeight="true" outlineLevel="0" collapsed="false">
      <c r="A204" s="32"/>
      <c r="B204" s="32"/>
      <c r="C204" s="32"/>
      <c r="D204" s="32"/>
      <c r="E204" s="32"/>
    </row>
    <row r="205" customFormat="false" ht="15" hidden="false" customHeight="true" outlineLevel="0" collapsed="false">
      <c r="A205" s="32"/>
      <c r="B205" s="32"/>
      <c r="C205" s="32"/>
      <c r="D205" s="32"/>
      <c r="E205" s="32"/>
    </row>
    <row r="206" customFormat="false" ht="15" hidden="false" customHeight="true" outlineLevel="0" collapsed="false">
      <c r="A206" s="32"/>
      <c r="B206" s="32"/>
      <c r="C206" s="32"/>
      <c r="D206" s="32"/>
      <c r="E206" s="32"/>
    </row>
    <row r="207" customFormat="false" ht="15" hidden="false" customHeight="true" outlineLevel="0" collapsed="false">
      <c r="A207" s="32"/>
      <c r="B207" s="32"/>
      <c r="C207" s="32"/>
      <c r="D207" s="32"/>
      <c r="E207" s="32"/>
    </row>
    <row r="208" customFormat="false" ht="15" hidden="false" customHeight="true" outlineLevel="0" collapsed="false">
      <c r="A208" s="32"/>
      <c r="B208" s="32"/>
      <c r="C208" s="32"/>
      <c r="D208" s="32"/>
      <c r="E208" s="32"/>
    </row>
    <row r="209" customFormat="false" ht="15" hidden="false" customHeight="true" outlineLevel="0" collapsed="false">
      <c r="A209" s="32"/>
      <c r="B209" s="32"/>
      <c r="C209" s="32"/>
      <c r="D209" s="32"/>
      <c r="E209" s="32"/>
    </row>
    <row r="210" customFormat="false" ht="15" hidden="false" customHeight="true" outlineLevel="0" collapsed="false">
      <c r="A210" s="32"/>
      <c r="B210" s="32"/>
      <c r="C210" s="32"/>
      <c r="D210" s="32"/>
      <c r="E210" s="32"/>
    </row>
    <row r="211" customFormat="false" ht="15" hidden="false" customHeight="true" outlineLevel="0" collapsed="false">
      <c r="A211" s="32"/>
      <c r="B211" s="32"/>
      <c r="C211" s="32"/>
      <c r="D211" s="32"/>
      <c r="E211" s="32"/>
    </row>
    <row r="212" customFormat="false" ht="15" hidden="false" customHeight="true" outlineLevel="0" collapsed="false">
      <c r="A212" s="32"/>
      <c r="B212" s="32"/>
      <c r="C212" s="32"/>
      <c r="D212" s="32"/>
      <c r="E212" s="32"/>
    </row>
    <row r="213" customFormat="false" ht="15" hidden="false" customHeight="true" outlineLevel="0" collapsed="false">
      <c r="A213" s="32"/>
      <c r="B213" s="32"/>
      <c r="C213" s="32"/>
      <c r="D213" s="32"/>
      <c r="E213" s="32"/>
    </row>
    <row r="214" customFormat="false" ht="15" hidden="false" customHeight="true" outlineLevel="0" collapsed="false">
      <c r="A214" s="32"/>
      <c r="B214" s="32"/>
      <c r="C214" s="32"/>
      <c r="D214" s="32"/>
      <c r="E214" s="32"/>
    </row>
    <row r="215" customFormat="false" ht="15" hidden="false" customHeight="true" outlineLevel="0" collapsed="false">
      <c r="A215" s="32"/>
      <c r="B215" s="32"/>
      <c r="C215" s="32"/>
      <c r="D215" s="32"/>
      <c r="E215" s="32"/>
    </row>
    <row r="216" customFormat="false" ht="15" hidden="false" customHeight="true" outlineLevel="0" collapsed="false">
      <c r="A216" s="32"/>
      <c r="B216" s="32"/>
      <c r="C216" s="32"/>
      <c r="D216" s="32"/>
      <c r="E216" s="32"/>
    </row>
    <row r="217" customFormat="false" ht="15" hidden="false" customHeight="true" outlineLevel="0" collapsed="false">
      <c r="A217" s="32"/>
      <c r="B217" s="32"/>
      <c r="C217" s="32"/>
      <c r="D217" s="32"/>
      <c r="E217" s="32"/>
    </row>
    <row r="218" customFormat="false" ht="15" hidden="false" customHeight="true" outlineLevel="0" collapsed="false">
      <c r="A218" s="32"/>
      <c r="B218" s="32"/>
      <c r="C218" s="32"/>
      <c r="D218" s="32"/>
      <c r="E218" s="32"/>
    </row>
    <row r="219" customFormat="false" ht="15" hidden="false" customHeight="true" outlineLevel="0" collapsed="false">
      <c r="A219" s="32"/>
      <c r="B219" s="32"/>
      <c r="C219" s="32"/>
      <c r="D219" s="32"/>
      <c r="E219" s="32"/>
    </row>
    <row r="220" customFormat="false" ht="15" hidden="false" customHeight="true" outlineLevel="0" collapsed="false">
      <c r="A220" s="32"/>
      <c r="B220" s="32"/>
      <c r="C220" s="32"/>
      <c r="D220" s="32"/>
      <c r="E220" s="32"/>
    </row>
    <row r="221" customFormat="false" ht="15" hidden="false" customHeight="true" outlineLevel="0" collapsed="false">
      <c r="A221" s="32"/>
      <c r="B221" s="32"/>
      <c r="C221" s="32"/>
      <c r="D221" s="32"/>
      <c r="E221" s="32"/>
    </row>
    <row r="222" customFormat="false" ht="15" hidden="false" customHeight="true" outlineLevel="0" collapsed="false">
      <c r="A222" s="32"/>
      <c r="B222" s="32"/>
      <c r="C222" s="32"/>
      <c r="D222" s="32"/>
      <c r="E222" s="32"/>
    </row>
    <row r="223" customFormat="false" ht="15" hidden="false" customHeight="true" outlineLevel="0" collapsed="false">
      <c r="A223" s="32"/>
      <c r="B223" s="32"/>
      <c r="C223" s="32"/>
      <c r="D223" s="32"/>
      <c r="E223" s="32"/>
    </row>
    <row r="224" customFormat="false" ht="15" hidden="false" customHeight="true" outlineLevel="0" collapsed="false">
      <c r="A224" s="32"/>
      <c r="B224" s="32"/>
      <c r="C224" s="32"/>
      <c r="D224" s="32"/>
      <c r="E224" s="32"/>
    </row>
  </sheetData>
  <mergeCells count="35">
    <mergeCell ref="A1:E1"/>
    <mergeCell ref="A2:E2"/>
    <mergeCell ref="A3:E3"/>
    <mergeCell ref="A7:E7"/>
    <mergeCell ref="A14:E14"/>
    <mergeCell ref="A19:E19"/>
    <mergeCell ref="A27:E27"/>
    <mergeCell ref="A35:E35"/>
    <mergeCell ref="A39:E39"/>
    <mergeCell ref="A42:E42"/>
    <mergeCell ref="A49:E49"/>
    <mergeCell ref="A50:E50"/>
    <mergeCell ref="A51:E51"/>
    <mergeCell ref="A67:E67"/>
    <mergeCell ref="A71:E71"/>
    <mergeCell ref="A90:E90"/>
    <mergeCell ref="A95:E95"/>
    <mergeCell ref="A99:E99"/>
    <mergeCell ref="A105:E105"/>
    <mergeCell ref="A106:E106"/>
    <mergeCell ref="A108:E108"/>
    <mergeCell ref="A113:E113"/>
    <mergeCell ref="A122:E122"/>
    <mergeCell ref="A123:E123"/>
    <mergeCell ref="A131:E131"/>
    <mergeCell ref="A132:E132"/>
    <mergeCell ref="A143:E143"/>
    <mergeCell ref="A148:E148"/>
    <mergeCell ref="A149:E149"/>
    <mergeCell ref="A155:E155"/>
    <mergeCell ref="A156:E156"/>
    <mergeCell ref="A157:E157"/>
    <mergeCell ref="A158:E158"/>
    <mergeCell ref="A159:E159"/>
    <mergeCell ref="A160:E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2026-03-10T18:36:04Z</dcterms:created>
  <dc:creator>openpyxl</dc:creator>
  <dc:description/>
  <dc:language>en-US</dc:language>
  <cp:lastModifiedBy/>
  <dcterms:modified xsi:type="dcterms:W3CDTF">2026-03-10T18:53:50Z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